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Exigences" sheetId="3" state="visible" r:id="rId3"/>
    <sheet xmlns:r="http://schemas.openxmlformats.org/officeDocument/2006/relationships" name="Légen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6AA5"/>
      <sz val="14"/>
    </font>
    <font>
      <b val="1"/>
    </font>
  </fonts>
  <fills count="12">
    <fill>
      <patternFill/>
    </fill>
    <fill>
      <patternFill patternType="gray125"/>
    </fill>
    <fill>
      <patternFill patternType="solid">
        <fgColor rgb="001F6AA5"/>
        <bgColor rgb="001F6AA5"/>
      </patternFill>
    </fill>
    <fill>
      <patternFill patternType="solid">
        <fgColor rgb="00E3F2FD"/>
        <bgColor rgb="00E3F2FD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  <bgColor rgb="00E8F5E9"/>
      </patternFill>
    </fill>
    <fill>
      <patternFill patternType="solid">
        <fgColor rgb="00FFF9C4"/>
        <bgColor rgb="00FFF9C4"/>
      </patternFill>
    </fill>
    <fill>
      <patternFill patternType="solid">
        <fgColor rgb="00FFE0B2"/>
        <bgColor rgb="00FFE0B2"/>
      </patternFill>
    </fill>
    <fill>
      <patternFill patternType="solid">
        <fgColor rgb="00FCE4EC"/>
        <bgColor rgb="00FCE4EC"/>
      </patternFill>
    </fill>
    <fill>
      <patternFill patternType="solid">
        <fgColor rgb="00FFCDD2"/>
        <bgColor rgb="00FFCDD2"/>
      </patternFill>
    </fill>
    <fill>
      <patternFill patternType="solid">
        <fgColor rgb="00D7CCC8"/>
        <bgColor rgb="00D7CCC8"/>
      </patternFill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left" vertical="top" wrapText="1"/>
    </xf>
    <xf numFmtId="0" fontId="0" fillId="9" borderId="1" applyAlignment="1" pivotButton="0" quotePrefix="0" xfId="0">
      <alignment horizontal="left" vertical="top" wrapText="1"/>
    </xf>
    <xf numFmtId="0" fontId="0" fillId="10" borderId="1" applyAlignment="1" pivotButton="0" quotePrefix="0" xfId="0">
      <alignment horizontal="left" vertical="top" wrapText="1"/>
    </xf>
    <xf numFmtId="0" fontId="2" fillId="0" borderId="0" pivotButton="0" quotePrefix="0" xfId="0"/>
    <xf numFmtId="0" fontId="0" fillId="0" borderId="1" pivotButton="0" quotePrefix="0" xfId="0"/>
    <xf numFmtId="0" fontId="3" fillId="11" borderId="1" pivotButton="0" quotePrefix="0" xfId="0"/>
    <xf numFmtId="0" fontId="0" fillId="0" borderId="1" applyAlignment="1" pivotButton="0" quotePrefix="0" xfId="0">
      <alignment horizontal="left"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25" customWidth="1" min="4" max="4"/>
    <col width="50" customWidth="1" min="5" max="5"/>
    <col width="9" customWidth="1" min="6" max="6"/>
    <col width="22" customWidth="1" min="7" max="7"/>
    <col width="25" customWidth="1" min="8" max="8"/>
    <col width="45" customWidth="1" min="9" max="9"/>
    <col width="20" customWidth="1" min="10" max="10"/>
    <col width="11" customWidth="1" min="11" max="11"/>
    <col width="12" customWidth="1" min="12" max="12"/>
    <col width="18" customWidth="1" min="13" max="13"/>
    <col width="12" customWidth="1" min="14" max="14"/>
    <col width="30" customWidth="1" min="15" max="15"/>
  </cols>
  <sheetData>
    <row r="1">
      <c r="A1" s="1" t="inlineStr">
        <is>
          <t>ID_Test</t>
        </is>
      </c>
      <c r="B1" s="1" t="inlineStr">
        <is>
          <t>Catégorie</t>
        </is>
      </c>
      <c r="C1" s="1" t="inlineStr">
        <is>
          <t>Exigence liée</t>
        </is>
      </c>
      <c r="D1" s="1" t="inlineStr">
        <is>
          <t>Fonctionnalité</t>
        </is>
      </c>
      <c r="E1" s="1" t="inlineStr">
        <is>
          <t>Description</t>
        </is>
      </c>
      <c r="F1" s="1" t="inlineStr">
        <is>
          <t>Mode</t>
        </is>
      </c>
      <c r="G1" s="1" t="inlineStr">
        <is>
          <t>Pré-requis</t>
        </is>
      </c>
      <c r="H1" s="1" t="inlineStr">
        <is>
          <t>Données entrée</t>
        </is>
      </c>
      <c r="I1" s="1" t="inlineStr">
        <is>
          <t>Résultat attendu</t>
        </is>
      </c>
      <c r="J1" s="1" t="inlineStr">
        <is>
          <t>Résultat obtenu</t>
        </is>
      </c>
      <c r="K1" s="1" t="inlineStr">
        <is>
          <t>Statut</t>
        </is>
      </c>
      <c r="L1" s="1" t="inlineStr">
        <is>
          <t>Sévérité</t>
        </is>
      </c>
      <c r="M1" s="1" t="inlineStr">
        <is>
          <t>Testeur</t>
        </is>
      </c>
      <c r="N1" s="1" t="inlineStr">
        <is>
          <t>Date</t>
        </is>
      </c>
      <c r="O1" s="1" t="inlineStr">
        <is>
          <t>Commentaires</t>
        </is>
      </c>
    </row>
    <row r="2">
      <c r="A2" s="2" t="inlineStr">
        <is>
          <t>T-001</t>
        </is>
      </c>
      <c r="B2" s="2" t="inlineStr">
        <is>
          <t>IHM</t>
        </is>
      </c>
      <c r="C2" s="2" t="inlineStr">
        <is>
          <t>REQ-IHM-01</t>
        </is>
      </c>
      <c r="D2" s="2" t="inlineStr">
        <is>
          <t>Démarrage de l'application</t>
        </is>
      </c>
      <c r="E2" s="2" t="inlineStr">
        <is>
          <t>Démarrer l'application : 4 onglets principaux (📁/🔍/📜/⚙️) + barre d'état « Prêt »</t>
        </is>
      </c>
      <c r="F2" s="2" t="inlineStr">
        <is>
          <t>Manuel</t>
        </is>
      </c>
      <c r="G2" s="2" t="inlineStr">
        <is>
          <t>Exécutable compilé</t>
        </is>
      </c>
      <c r="H2" s="2" t="inlineStr">
        <is>
          <t>—</t>
        </is>
      </c>
      <c r="I2" s="2" t="inlineStr">
        <is>
          <t>Bandeau de 4 onglets, fenêtre 1200×800, panneau Organisation affiche lui-même 4 onglets internes (v2.3)</t>
        </is>
      </c>
      <c r="J2" s="2" t="inlineStr"/>
      <c r="K2" s="2" t="inlineStr">
        <is>
          <t>À faire</t>
        </is>
      </c>
      <c r="L2" s="2" t="inlineStr">
        <is>
          <t>Bloquant</t>
        </is>
      </c>
      <c r="M2" s="2" t="inlineStr"/>
      <c r="N2" s="2" t="inlineStr"/>
      <c r="O2" s="2" t="inlineStr"/>
    </row>
    <row r="3">
      <c r="A3" s="2" t="inlineStr">
        <is>
          <t>T-002</t>
        </is>
      </c>
      <c r="B3" s="2" t="inlineStr">
        <is>
          <t>IHM</t>
        </is>
      </c>
      <c r="C3" s="2" t="inlineStr">
        <is>
          <t>REQ-IHM-02</t>
        </is>
      </c>
      <c r="D3" s="2" t="inlineStr">
        <is>
          <t>Navigation onglets</t>
        </is>
      </c>
      <c r="E3" s="2" t="inlineStr">
        <is>
          <t>Ctrl+1..4 navigue entre onglets, F1 ouvre À propos</t>
        </is>
      </c>
      <c r="F3" s="2" t="inlineStr">
        <is>
          <t>Manuel</t>
        </is>
      </c>
      <c r="G3" s="2" t="inlineStr">
        <is>
          <t>T-001 OK</t>
        </is>
      </c>
      <c r="H3" s="2" t="inlineStr">
        <is>
          <t>—</t>
        </is>
      </c>
      <c r="I3" s="2" t="inlineStr">
        <is>
          <t>Onglet actif change ; modale About s'ouvre</t>
        </is>
      </c>
      <c r="J3" s="2" t="inlineStr"/>
      <c r="K3" s="2" t="inlineStr">
        <is>
          <t>À faire</t>
        </is>
      </c>
      <c r="L3" s="2" t="inlineStr">
        <is>
          <t>Majeur</t>
        </is>
      </c>
      <c r="M3" s="2" t="inlineStr"/>
      <c r="N3" s="2" t="inlineStr"/>
      <c r="O3" s="2" t="inlineStr"/>
    </row>
    <row r="4">
      <c r="A4" s="2" t="inlineStr">
        <is>
          <t>T-003</t>
        </is>
      </c>
      <c r="B4" s="2" t="inlineStr">
        <is>
          <t>IHM</t>
        </is>
      </c>
      <c r="C4" s="2" t="inlineStr">
        <is>
          <t>REQ-IHM-03</t>
        </is>
      </c>
      <c r="D4" s="2" t="inlineStr">
        <is>
          <t>Bouton thème ☀️/🌙</t>
        </is>
      </c>
      <c r="E4" s="2" t="inlineStr">
        <is>
          <t>Clic bascule entre clair/sombre</t>
        </is>
      </c>
      <c r="F4" s="2" t="inlineStr">
        <is>
          <t>Manuel</t>
        </is>
      </c>
      <c r="G4" s="2" t="inlineStr">
        <is>
          <t>T-001 OK</t>
        </is>
      </c>
      <c r="H4" s="2" t="inlineStr">
        <is>
          <t>—</t>
        </is>
      </c>
      <c r="I4" s="2" t="inlineStr">
        <is>
          <t>Frames et boutons changent de couleur</t>
        </is>
      </c>
      <c r="J4" s="2" t="inlineStr"/>
      <c r="K4" s="2" t="inlineStr">
        <is>
          <t>À faire</t>
        </is>
      </c>
      <c r="L4" s="2" t="inlineStr">
        <is>
          <t>Mineur</t>
        </is>
      </c>
      <c r="M4" s="2" t="inlineStr"/>
      <c r="N4" s="2" t="inlineStr"/>
      <c r="O4" s="2" t="inlineStr"/>
    </row>
    <row r="5">
      <c r="A5" s="2" t="inlineStr">
        <is>
          <t>T-004</t>
        </is>
      </c>
      <c r="B5" s="2" t="inlineStr">
        <is>
          <t>IHM</t>
        </is>
      </c>
      <c r="C5" s="2" t="inlineStr">
        <is>
          <t>REQ-IHM-04</t>
        </is>
      </c>
      <c r="D5" s="2" t="inlineStr">
        <is>
          <t>minsize fenêtre</t>
        </is>
      </c>
      <c r="E5" s="2" t="inlineStr">
        <is>
          <t>Réduire la fenêtre à 800×550</t>
        </is>
      </c>
      <c r="F5" s="2" t="inlineStr">
        <is>
          <t>Manuel</t>
        </is>
      </c>
      <c r="G5" s="2" t="inlineStr">
        <is>
          <t>T-001 OK</t>
        </is>
      </c>
      <c r="H5" s="2" t="inlineStr">
        <is>
          <t>—</t>
        </is>
      </c>
      <c r="I5" s="2" t="inlineStr">
        <is>
          <t>Tous les boutons restent atteignables, scroll central activé si besoin</t>
        </is>
      </c>
      <c r="J5" s="2" t="inlineStr"/>
      <c r="K5" s="2" t="inlineStr">
        <is>
          <t>À faire</t>
        </is>
      </c>
      <c r="L5" s="2" t="inlineStr">
        <is>
          <t>Majeur</t>
        </is>
      </c>
      <c r="M5" s="2" t="inlineStr"/>
      <c r="N5" s="2" t="inlineStr"/>
      <c r="O5" s="2" t="inlineStr"/>
    </row>
    <row r="6">
      <c r="A6" s="2" t="inlineStr">
        <is>
          <t>T-005</t>
        </is>
      </c>
      <c r="B6" s="2" t="inlineStr">
        <is>
          <t>IHM</t>
        </is>
      </c>
      <c r="C6" s="2" t="inlineStr">
        <is>
          <t>REQ-IHM-05</t>
        </is>
      </c>
      <c r="D6" s="2" t="inlineStr">
        <is>
          <t>Tooltips bouton Organiser</t>
        </is>
      </c>
      <c r="E6" s="2" t="inlineStr">
        <is>
          <t>Survoler 600 ms le bouton 🚀 Organiser</t>
        </is>
      </c>
      <c r="F6" s="2" t="inlineStr">
        <is>
          <t>Manuel</t>
        </is>
      </c>
      <c r="G6" s="2" t="inlineStr">
        <is>
          <t>T-001 OK</t>
        </is>
      </c>
      <c r="H6" s="2" t="inlineStr">
        <is>
          <t>—</t>
        </is>
      </c>
      <c r="I6" s="2" t="inlineStr">
        <is>
          <t>Info-bulle FR apparaît avec description action+effet</t>
        </is>
      </c>
      <c r="J6" s="2" t="inlineStr"/>
      <c r="K6" s="2" t="inlineStr">
        <is>
          <t>À faire</t>
        </is>
      </c>
      <c r="L6" s="2" t="inlineStr">
        <is>
          <t>Mineur</t>
        </is>
      </c>
      <c r="M6" s="2" t="inlineStr"/>
      <c r="N6" s="2" t="inlineStr"/>
      <c r="O6" s="2" t="inlineStr"/>
    </row>
    <row r="7">
      <c r="A7" s="2" t="inlineStr">
        <is>
          <t>T-006</t>
        </is>
      </c>
      <c r="B7" s="2" t="inlineStr">
        <is>
          <t>IHM</t>
        </is>
      </c>
      <c r="C7" s="2" t="inlineStr">
        <is>
          <t>REQ-IHM-06</t>
        </is>
      </c>
      <c r="D7" s="2" t="inlineStr">
        <is>
          <t>Sticky bottom Organisation</t>
        </is>
      </c>
      <c r="E7" s="2" t="inlineStr">
        <is>
          <t>Fenêtre 1200×800 + déplier Avancé</t>
        </is>
      </c>
      <c r="F7" s="2" t="inlineStr">
        <is>
          <t>Manuel</t>
        </is>
      </c>
      <c r="G7" s="2" t="inlineStr">
        <is>
          <t>T-001 OK</t>
        </is>
      </c>
      <c r="H7" s="2" t="inlineStr">
        <is>
          <t>—</t>
        </is>
      </c>
      <c r="I7" s="2" t="inlineStr">
        <is>
          <t>Boutons d'action restent visibles, scroll central scrollable</t>
        </is>
      </c>
      <c r="J7" s="2" t="inlineStr"/>
      <c r="K7" s="2" t="inlineStr">
        <is>
          <t>À faire</t>
        </is>
      </c>
      <c r="L7" s="2" t="inlineStr">
        <is>
          <t>Majeur</t>
        </is>
      </c>
      <c r="M7" s="2" t="inlineStr"/>
      <c r="N7" s="2" t="inlineStr"/>
      <c r="O7" s="2" t="inlineStr"/>
    </row>
    <row r="8">
      <c r="A8" s="2" t="inlineStr">
        <is>
          <t>T-007</t>
        </is>
      </c>
      <c r="B8" s="2" t="inlineStr">
        <is>
          <t>IHM</t>
        </is>
      </c>
      <c r="C8" s="2" t="inlineStr">
        <is>
          <t>REQ-IHM-07</t>
        </is>
      </c>
      <c r="D8" s="2" t="inlineStr">
        <is>
          <t>Onglet Filtrer accessible</t>
        </is>
      </c>
      <c r="E8" s="2" t="inlineStr">
        <is>
          <t>Cliquer l'onglet 🔍 Filtrer dans le bandeau d'onglets interne du panneau Organisation</t>
        </is>
      </c>
      <c r="F8" s="2" t="inlineStr">
        <is>
          <t>Manuel</t>
        </is>
      </c>
      <c r="G8" s="2" t="inlineStr">
        <is>
          <t>T-001 OK</t>
        </is>
      </c>
      <c r="H8" s="2" t="inlineStr">
        <is>
          <t>—</t>
        </is>
      </c>
      <c r="I8" s="2" t="inlineStr">
        <is>
          <t>Contenu Filtres visible, filtres date/taille/note/mots-clés accessibles (refonte v2.3 — remplace l'ancien bouton ▶ Avancé)</t>
        </is>
      </c>
      <c r="J8" s="2" t="inlineStr"/>
      <c r="K8" s="2" t="inlineStr">
        <is>
          <t>À faire</t>
        </is>
      </c>
      <c r="L8" s="2" t="inlineStr">
        <is>
          <t>Majeur</t>
        </is>
      </c>
      <c r="M8" s="2" t="inlineStr"/>
      <c r="N8" s="2" t="inlineStr"/>
      <c r="O8" s="2" t="inlineStr"/>
    </row>
    <row r="9">
      <c r="A9" s="2" t="inlineStr">
        <is>
          <t>T-008</t>
        </is>
      </c>
      <c r="B9" s="2" t="inlineStr">
        <is>
          <t>IHM</t>
        </is>
      </c>
      <c r="C9" s="2" t="inlineStr">
        <is>
          <t>REQ-IHM-08</t>
        </is>
      </c>
      <c r="D9" s="2" t="inlineStr">
        <is>
          <t>Onglet Renommer accessible</t>
        </is>
      </c>
      <c r="E9" s="2" t="inlineStr">
        <is>
          <t>Cliquer l'onglet 🏷 Renommer dans le bandeau d'onglets interne du panneau Organisation</t>
        </is>
      </c>
      <c r="F9" s="2" t="inlineStr">
        <is>
          <t>Manuel</t>
        </is>
      </c>
      <c r="G9" s="2" t="inlineStr">
        <is>
          <t>T-001 OK</t>
        </is>
      </c>
      <c r="H9" s="2" t="inlineStr">
        <is>
          <t>—</t>
        </is>
      </c>
      <c r="I9" s="2" t="inlineStr">
        <is>
          <t>Contenu Renommer visible, exemples cliquables présents (refonte v2.3 — remplace l'ancien bouton Renommage repliable)</t>
        </is>
      </c>
      <c r="J9" s="2" t="inlineStr"/>
      <c r="K9" s="2" t="inlineStr">
        <is>
          <t>À faire</t>
        </is>
      </c>
      <c r="L9" s="2" t="inlineStr">
        <is>
          <t>Mineur</t>
        </is>
      </c>
      <c r="M9" s="2" t="inlineStr"/>
      <c r="N9" s="2" t="inlineStr"/>
      <c r="O9" s="2" t="inlineStr"/>
    </row>
    <row r="10">
      <c r="A10" s="2" t="inlineStr">
        <is>
          <t>T-009</t>
        </is>
      </c>
      <c r="B10" s="2" t="inlineStr">
        <is>
          <t>IHM</t>
        </is>
      </c>
      <c r="C10" s="2" t="inlineStr">
        <is>
          <t>REQ-IHM-09</t>
        </is>
      </c>
      <c r="D10" s="2" t="inlineStr">
        <is>
          <t>Sidebar Doublons largeur ≥ 500</t>
        </is>
      </c>
      <c r="E10" s="2" t="inlineStr">
        <is>
          <t>Onglet Doublons : vérif options non tronquées</t>
        </is>
      </c>
      <c r="F10" s="2" t="inlineStr">
        <is>
          <t>Manuel</t>
        </is>
      </c>
      <c r="G10" s="2" t="inlineStr">
        <is>
          <t>T-001 OK</t>
        </is>
      </c>
      <c r="H10" s="2" t="inlineStr">
        <is>
          <t>—</t>
        </is>
      </c>
      <c r="I10" s="2" t="inlineStr">
        <is>
          <t>Tous champs/cases lisibles sans scroll horizontal</t>
        </is>
      </c>
      <c r="J10" s="2" t="inlineStr"/>
      <c r="K10" s="2" t="inlineStr">
        <is>
          <t>À faire</t>
        </is>
      </c>
      <c r="L10" s="2" t="inlineStr">
        <is>
          <t>Mineur</t>
        </is>
      </c>
      <c r="M10" s="2" t="inlineStr"/>
      <c r="N10" s="2" t="inlineStr"/>
      <c r="O10" s="2" t="inlineStr"/>
    </row>
    <row r="11">
      <c r="A11" s="2" t="inlineStr">
        <is>
          <t>T-010</t>
        </is>
      </c>
      <c r="B11" s="2" t="inlineStr">
        <is>
          <t>IHM</t>
        </is>
      </c>
      <c r="C11" s="2" t="inlineStr">
        <is>
          <t>REQ-IHM-10</t>
        </is>
      </c>
      <c r="D11" s="2" t="inlineStr">
        <is>
          <t>Compteur fichiers temps réel</t>
        </is>
      </c>
      <c r="E11" s="2" t="inlineStr">
        <is>
          <t>Sélectionner source nominal</t>
        </is>
      </c>
      <c r="F11" s="2" t="inlineStr">
        <is>
          <t>Manuel</t>
        </is>
      </c>
      <c r="G11" s="2" t="inlineStr">
        <is>
          <t>T-001 OK</t>
        </is>
      </c>
      <c r="H11" s="2" t="inlineStr">
        <is>
          <t>input_nominal/</t>
        </is>
      </c>
      <c r="I11" s="2" t="inlineStr">
        <is>
          <t>Label « 📂 N fichier(s) prêt(s) » mis à jour &lt; 2 s</t>
        </is>
      </c>
      <c r="J11" s="2" t="inlineStr"/>
      <c r="K11" s="2" t="inlineStr">
        <is>
          <t>À faire</t>
        </is>
      </c>
      <c r="L11" s="2" t="inlineStr">
        <is>
          <t>Majeur</t>
        </is>
      </c>
      <c r="M11" s="2" t="inlineStr"/>
      <c r="N11" s="2" t="inlineStr"/>
      <c r="O11" s="2" t="inlineStr"/>
    </row>
    <row r="12">
      <c r="A12" s="2" t="inlineStr">
        <is>
          <t>T-011</t>
        </is>
      </c>
      <c r="B12" s="2" t="inlineStr">
        <is>
          <t>IHM</t>
        </is>
      </c>
      <c r="C12" s="2" t="inlineStr">
        <is>
          <t>REQ-IHM-11</t>
        </is>
      </c>
      <c r="D12" s="2" t="inlineStr">
        <is>
          <t>Sources multiples via +</t>
        </is>
      </c>
      <c r="E12" s="2" t="inlineStr">
        <is>
          <t>Cliquer + Source 2 fois sur 2 dossiers différents</t>
        </is>
      </c>
      <c r="F12" s="2" t="inlineStr">
        <is>
          <t>Manuel</t>
        </is>
      </c>
      <c r="G12" s="2" t="inlineStr">
        <is>
          <t>T-001 OK</t>
        </is>
      </c>
      <c r="H12" s="2" t="inlineStr">
        <is>
          <t>input_nominal/ + input_nominal_2/</t>
        </is>
      </c>
      <c r="I12" s="2" t="inlineStr">
        <is>
          <t>Source field contient 'p1;p2', compteur cumule</t>
        </is>
      </c>
      <c r="J12" s="2" t="inlineStr"/>
      <c r="K12" s="2" t="inlineStr">
        <is>
          <t>À faire</t>
        </is>
      </c>
      <c r="L12" s="2" t="inlineStr">
        <is>
          <t>Mineur</t>
        </is>
      </c>
      <c r="M12" s="2" t="inlineStr"/>
      <c r="N12" s="2" t="inlineStr"/>
      <c r="O12" s="2" t="inlineStr"/>
    </row>
    <row r="13">
      <c r="A13" s="2" t="inlineStr">
        <is>
          <t>T-012</t>
        </is>
      </c>
      <c r="B13" s="2" t="inlineStr">
        <is>
          <t>IHM</t>
        </is>
      </c>
      <c r="C13" s="2" t="inlineStr">
        <is>
          <t>REQ-IHM-12</t>
        </is>
      </c>
      <c r="D13" s="2" t="inlineStr">
        <is>
          <t>Drag &amp; drop dossier</t>
        </is>
      </c>
      <c r="E13" s="2" t="inlineStr">
        <is>
          <t>Glisser un dossier depuis explorateur sur champ Source</t>
        </is>
      </c>
      <c r="F13" s="2" t="inlineStr">
        <is>
          <t>Manuel</t>
        </is>
      </c>
      <c r="G13" s="2" t="inlineStr">
        <is>
          <t>tkinterdnd2 OK</t>
        </is>
      </c>
      <c r="H13" s="2" t="inlineStr">
        <is>
          <t>input_nominal/</t>
        </is>
      </c>
      <c r="I13" s="2" t="inlineStr">
        <is>
          <t>Champ Source mis à jour avec chemin</t>
        </is>
      </c>
      <c r="J13" s="2" t="inlineStr"/>
      <c r="K13" s="2" t="inlineStr">
        <is>
          <t>À faire</t>
        </is>
      </c>
      <c r="L13" s="2" t="inlineStr">
        <is>
          <t>Mineur</t>
        </is>
      </c>
      <c r="M13" s="2" t="inlineStr"/>
      <c r="N13" s="2" t="inlineStr"/>
      <c r="O13" s="2" t="inlineStr"/>
    </row>
    <row r="14">
      <c r="A14" s="2" t="inlineStr">
        <is>
          <t>T-013</t>
        </is>
      </c>
      <c r="B14" s="2" t="inlineStr">
        <is>
          <t>IHM</t>
        </is>
      </c>
      <c r="C14" s="2" t="inlineStr">
        <is>
          <t>REQ-IHM-13</t>
        </is>
      </c>
      <c r="D14" s="2" t="inlineStr">
        <is>
          <t>Bouton ↗ Ouvrir destination</t>
        </is>
      </c>
      <c r="E14" s="2" t="inlineStr">
        <is>
          <t>Sélectionner dest, cliquer ↗</t>
        </is>
      </c>
      <c r="F14" s="2" t="inlineStr">
        <is>
          <t>Manuel</t>
        </is>
      </c>
      <c r="G14" s="2" t="inlineStr">
        <is>
          <t>Dest existe</t>
        </is>
      </c>
      <c r="H14" s="2" t="inlineStr">
        <is>
          <t>—</t>
        </is>
      </c>
      <c r="I14" s="2" t="inlineStr">
        <is>
          <t>Explorer Windows ouvre le dossier</t>
        </is>
      </c>
      <c r="J14" s="2" t="inlineStr"/>
      <c r="K14" s="2" t="inlineStr">
        <is>
          <t>À faire</t>
        </is>
      </c>
      <c r="L14" s="2" t="inlineStr">
        <is>
          <t>Mineur</t>
        </is>
      </c>
      <c r="M14" s="2" t="inlineStr"/>
      <c r="N14" s="2" t="inlineStr"/>
      <c r="O14" s="2" t="inlineStr"/>
    </row>
    <row r="15">
      <c r="A15" s="2" t="inlineStr">
        <is>
          <t>T-014</t>
        </is>
      </c>
      <c r="B15" s="2" t="inlineStr">
        <is>
          <t>IHM</t>
        </is>
      </c>
      <c r="C15" s="2" t="inlineStr">
        <is>
          <t>REQ-IHM-14</t>
        </is>
      </c>
      <c r="D15" s="2" t="inlineStr">
        <is>
          <t>Switch multicouche révèle ordre</t>
        </is>
      </c>
      <c r="E15" s="2" t="inlineStr">
        <is>
          <t>Cocher 2 critères puis activer switch</t>
        </is>
      </c>
      <c r="F15" s="2" t="inlineStr">
        <is>
          <t>Manuel</t>
        </is>
      </c>
      <c r="G15" s="2" t="inlineStr">
        <is>
          <t>T-001 OK</t>
        </is>
      </c>
      <c r="H15" s="2" t="inlineStr">
        <is>
          <t>—</t>
        </is>
      </c>
      <c r="I15" s="2" t="inlineStr">
        <is>
          <t>Sous-panneau Ordre apparaît avec 2 cards</t>
        </is>
      </c>
      <c r="J15" s="2" t="inlineStr"/>
      <c r="K15" s="2" t="inlineStr">
        <is>
          <t>À faire</t>
        </is>
      </c>
      <c r="L15" s="2" t="inlineStr">
        <is>
          <t>Majeur</t>
        </is>
      </c>
      <c r="M15" s="2" t="inlineStr"/>
      <c r="N15" s="2" t="inlineStr"/>
      <c r="O15" s="2" t="inlineStr"/>
    </row>
    <row r="16">
      <c r="A16" s="2" t="inlineStr">
        <is>
          <t>T-015</t>
        </is>
      </c>
      <c r="B16" s="2" t="inlineStr">
        <is>
          <t>IHM</t>
        </is>
      </c>
      <c r="C16" s="2" t="inlineStr">
        <is>
          <t>REQ-IHM-15</t>
        </is>
      </c>
      <c r="D16" s="2" t="inlineStr">
        <is>
          <t>Boutons ▲▼ réordonnent critères</t>
        </is>
      </c>
      <c r="E16" s="2" t="inlineStr">
        <is>
          <t>Multilayer ON, cliquer ▲ sur Camera</t>
        </is>
      </c>
      <c r="F16" s="2" t="inlineStr">
        <is>
          <t>Manuel</t>
        </is>
      </c>
      <c r="G16" s="2" t="inlineStr">
        <is>
          <t>T-014 OK</t>
        </is>
      </c>
      <c r="H16" s="2" t="inlineStr">
        <is>
          <t>—</t>
        </is>
      </c>
      <c r="I16" s="2" t="inlineStr">
        <is>
          <t>Camera passe au-dessus de Date dans la liste</t>
        </is>
      </c>
      <c r="J16" s="2" t="inlineStr"/>
      <c r="K16" s="2" t="inlineStr">
        <is>
          <t>À faire</t>
        </is>
      </c>
      <c r="L16" s="2" t="inlineStr">
        <is>
          <t>Mineur</t>
        </is>
      </c>
      <c r="M16" s="2" t="inlineStr"/>
      <c r="N16" s="2" t="inlineStr"/>
      <c r="O16" s="2" t="inlineStr"/>
    </row>
    <row r="17">
      <c r="A17" s="2" t="inlineStr">
        <is>
          <t>T-016</t>
        </is>
      </c>
      <c r="B17" s="2" t="inlineStr">
        <is>
          <t>IHM</t>
        </is>
      </c>
      <c r="C17" s="2" t="inlineStr">
        <is>
          <t>REQ-IHM-16</t>
        </is>
      </c>
      <c r="D17" s="2" t="inlineStr">
        <is>
          <t>Sous-options GPS conditionnelles</t>
        </is>
      </c>
      <c r="E17" s="2" t="inlineStr">
        <is>
          <t>Cocher Par localisation GPS</t>
        </is>
      </c>
      <c r="F17" s="2" t="inlineStr">
        <is>
          <t>Manuel</t>
        </is>
      </c>
      <c r="G17" s="2" t="inlineStr">
        <is>
          <t>T-001 OK</t>
        </is>
      </c>
      <c r="H17" s="2" t="inlineStr">
        <is>
          <t>—</t>
        </is>
      </c>
      <c r="I17" s="2" t="inlineStr">
        <is>
          <t>Géocodage + slider distance + label apparaissent</t>
        </is>
      </c>
      <c r="J17" s="2" t="inlineStr"/>
      <c r="K17" s="2" t="inlineStr">
        <is>
          <t>À faire</t>
        </is>
      </c>
      <c r="L17" s="2" t="inlineStr">
        <is>
          <t>Mineur</t>
        </is>
      </c>
      <c r="M17" s="2" t="inlineStr"/>
      <c r="N17" s="2" t="inlineStr"/>
      <c r="O17" s="2" t="inlineStr"/>
    </row>
    <row r="18">
      <c r="A18" s="2" t="inlineStr">
        <is>
          <t>T-017</t>
        </is>
      </c>
      <c r="B18" s="2" t="inlineStr">
        <is>
          <t>IHM</t>
        </is>
      </c>
      <c r="C18" s="2" t="inlineStr">
        <is>
          <t>REQ-IHM-17</t>
        </is>
      </c>
      <c r="D18" s="2" t="inlineStr">
        <is>
          <t>Slider distance max + boutons fins</t>
        </is>
      </c>
      <c r="E18" s="2" t="inlineStr">
        <is>
          <t>Cliquer ▶ 3 fois sur slider distance</t>
        </is>
      </c>
      <c r="F18" s="2" t="inlineStr">
        <is>
          <t>Manuel</t>
        </is>
      </c>
      <c r="G18" s="2" t="inlineStr">
        <is>
          <t>T-016 OK</t>
        </is>
      </c>
      <c r="H18" s="2" t="inlineStr">
        <is>
          <t>—</t>
        </is>
      </c>
      <c r="I18" s="2" t="inlineStr">
        <is>
          <t>Label passe de '1.0 km' à '1.3 km' (pas 100 m)</t>
        </is>
      </c>
      <c r="J18" s="2" t="inlineStr"/>
      <c r="K18" s="2" t="inlineStr">
        <is>
          <t>À faire</t>
        </is>
      </c>
      <c r="L18" s="2" t="inlineStr">
        <is>
          <t>Mineur</t>
        </is>
      </c>
      <c r="M18" s="2" t="inlineStr"/>
      <c r="N18" s="2" t="inlineStr"/>
      <c r="O18" s="2" t="inlineStr"/>
    </row>
    <row r="19">
      <c r="A19" s="2" t="inlineStr">
        <is>
          <t>T-018</t>
        </is>
      </c>
      <c r="B19" s="2" t="inlineStr">
        <is>
          <t>IHM</t>
        </is>
      </c>
      <c r="C19" s="2" t="inlineStr">
        <is>
          <t>REQ-IHM-18</t>
        </is>
      </c>
      <c r="D19" s="2" t="inlineStr">
        <is>
          <t>Exemples Renommage cliquables</t>
        </is>
      </c>
      <c r="E19" s="2" t="inlineStr">
        <is>
          <t>Déplier Renommage, cliquer un exemple</t>
        </is>
      </c>
      <c r="F19" s="2" t="inlineStr">
        <is>
          <t>Manuel</t>
        </is>
      </c>
      <c r="G19" s="2" t="inlineStr">
        <is>
          <t>T-001 OK</t>
        </is>
      </c>
      <c r="H19" s="2" t="inlineStr">
        <is>
          <t>—</t>
        </is>
      </c>
      <c r="I19" s="2" t="inlineStr">
        <is>
          <t>Champ Template renseigné, aperçu mis à jour</t>
        </is>
      </c>
      <c r="J19" s="2" t="inlineStr"/>
      <c r="K19" s="2" t="inlineStr">
        <is>
          <t>À faire</t>
        </is>
      </c>
      <c r="L19" s="2" t="inlineStr">
        <is>
          <t>Mineur</t>
        </is>
      </c>
      <c r="M19" s="2" t="inlineStr"/>
      <c r="N19" s="2" t="inlineStr"/>
      <c r="O19" s="2" t="inlineStr"/>
    </row>
    <row r="20">
      <c r="A20" s="2" t="inlineStr">
        <is>
          <t>T-019</t>
        </is>
      </c>
      <c r="B20" s="2" t="inlineStr">
        <is>
          <t>IHM</t>
        </is>
      </c>
      <c r="C20" s="2" t="inlineStr">
        <is>
          <t>REQ-IHM-19</t>
        </is>
      </c>
      <c r="D20" s="2" t="inlineStr">
        <is>
          <t>Bouton 🔄 Réinitialiser template</t>
        </is>
      </c>
      <c r="E20" s="2" t="inlineStr">
        <is>
          <t>Cliquer Réinitialiser après exemple</t>
        </is>
      </c>
      <c r="F20" s="2" t="inlineStr">
        <is>
          <t>Manuel</t>
        </is>
      </c>
      <c r="G20" s="2" t="inlineStr">
        <is>
          <t>T-018 OK</t>
        </is>
      </c>
      <c r="H20" s="2" t="inlineStr">
        <is>
          <t>—</t>
        </is>
      </c>
      <c r="I20" s="2" t="inlineStr">
        <is>
          <t>Template devient vide, aperçu '(aucun template)'</t>
        </is>
      </c>
      <c r="J20" s="2" t="inlineStr"/>
      <c r="K20" s="2" t="inlineStr">
        <is>
          <t>À faire</t>
        </is>
      </c>
      <c r="L20" s="2" t="inlineStr">
        <is>
          <t>Mineur</t>
        </is>
      </c>
      <c r="M20" s="2" t="inlineStr"/>
      <c r="N20" s="2" t="inlineStr"/>
      <c r="O20" s="2" t="inlineStr"/>
    </row>
    <row r="21">
      <c r="A21" s="2" t="inlineStr">
        <is>
          <t>T-020</t>
        </is>
      </c>
      <c r="B21" s="2" t="inlineStr">
        <is>
          <t>IHM</t>
        </is>
      </c>
      <c r="C21" s="2" t="inlineStr">
        <is>
          <t>REQ-IHM-20</t>
        </is>
      </c>
      <c r="D21" s="2" t="inlineStr">
        <is>
          <t>Aperçu live template</t>
        </is>
      </c>
      <c r="E21" s="2" t="inlineStr">
        <is>
          <t>Saisir '{date:%Y%m%d}_{counter:04d}'</t>
        </is>
      </c>
      <c r="F21" s="2" t="inlineStr">
        <is>
          <t>Manuel</t>
        </is>
      </c>
      <c r="G21" s="2" t="inlineStr">
        <is>
          <t>T-001 OK</t>
        </is>
      </c>
      <c r="H21" s="2" t="inlineStr">
        <is>
          <t>—</t>
        </is>
      </c>
      <c r="I21" s="2" t="inlineStr">
        <is>
          <t>Aperçu affiché : 'IMG_0001.jpg → 20260507_0042.jpg'</t>
        </is>
      </c>
      <c r="J21" s="2" t="inlineStr"/>
      <c r="K21" s="2" t="inlineStr">
        <is>
          <t>À faire</t>
        </is>
      </c>
      <c r="L21" s="2" t="inlineStr">
        <is>
          <t>Mineur</t>
        </is>
      </c>
      <c r="M21" s="2" t="inlineStr"/>
      <c r="N21" s="2" t="inlineStr"/>
      <c r="O21" s="2" t="inlineStr"/>
    </row>
    <row r="22">
      <c r="A22" s="2" t="inlineStr">
        <is>
          <t>T-021</t>
        </is>
      </c>
      <c r="B22" s="2" t="inlineStr">
        <is>
          <t>IHM</t>
        </is>
      </c>
      <c r="C22" s="2" t="inlineStr">
        <is>
          <t>REQ-IHM-21</t>
        </is>
      </c>
      <c r="D22" s="2" t="inlineStr">
        <is>
          <t>Preset save/load via menu</t>
        </is>
      </c>
      <c r="E22" s="2" t="inlineStr">
        <is>
          <t>Configurer + 💾 + saisir nom + Charger</t>
        </is>
      </c>
      <c r="F22" s="2" t="inlineStr">
        <is>
          <t>Manuel</t>
        </is>
      </c>
      <c r="G22" s="2" t="inlineStr">
        <is>
          <t>T-001 OK</t>
        </is>
      </c>
      <c r="H22" s="2" t="inlineStr">
        <is>
          <t>—</t>
        </is>
      </c>
      <c r="I22" s="2" t="inlineStr">
        <is>
          <t>Preset persisté dans config/presets/*.json, rechargé OK</t>
        </is>
      </c>
      <c r="J22" s="2" t="inlineStr"/>
      <c r="K22" s="2" t="inlineStr">
        <is>
          <t>À faire</t>
        </is>
      </c>
      <c r="L22" s="2" t="inlineStr">
        <is>
          <t>Majeur</t>
        </is>
      </c>
      <c r="M22" s="2" t="inlineStr"/>
      <c r="N22" s="2" t="inlineStr"/>
      <c r="O22" s="2" t="inlineStr"/>
    </row>
    <row r="23">
      <c r="A23" s="2" t="inlineStr">
        <is>
          <t>T-022</t>
        </is>
      </c>
      <c r="B23" s="2" t="inlineStr">
        <is>
          <t>IHM</t>
        </is>
      </c>
      <c r="C23" s="2" t="inlineStr">
        <is>
          <t>REQ-IHM-22</t>
        </is>
      </c>
      <c r="D23" s="2" t="inlineStr">
        <is>
          <t>Preset suppression confirm</t>
        </is>
      </c>
      <c r="E23" s="2" t="inlineStr">
        <is>
          <t>Sélectionner preset + 🗑 + confirmer</t>
        </is>
      </c>
      <c r="F23" s="2" t="inlineStr">
        <is>
          <t>Manuel</t>
        </is>
      </c>
      <c r="G23" s="2" t="inlineStr">
        <is>
          <t>T-021 OK</t>
        </is>
      </c>
      <c r="H23" s="2" t="inlineStr">
        <is>
          <t>—</t>
        </is>
      </c>
      <c r="I23" s="2" t="inlineStr">
        <is>
          <t>Preset supprimé, OptionMenu mis à jour</t>
        </is>
      </c>
      <c r="J23" s="2" t="inlineStr"/>
      <c r="K23" s="2" t="inlineStr">
        <is>
          <t>À faire</t>
        </is>
      </c>
      <c r="L23" s="2" t="inlineStr">
        <is>
          <t>Mineur</t>
        </is>
      </c>
      <c r="M23" s="2" t="inlineStr"/>
      <c r="N23" s="2" t="inlineStr"/>
      <c r="O23" s="2" t="inlineStr"/>
    </row>
    <row r="24">
      <c r="A24" s="2" t="inlineStr">
        <is>
          <t>T-023</t>
        </is>
      </c>
      <c r="B24" s="2" t="inlineStr">
        <is>
          <t>IHM</t>
        </is>
      </c>
      <c r="C24" s="2" t="inlineStr">
        <is>
          <t>REQ-IHM-23</t>
        </is>
      </c>
      <c r="D24" s="2" t="inlineStr">
        <is>
          <t>Mode Doublons recolore Exécuter</t>
        </is>
      </c>
      <c r="E24" s="2" t="inlineStr">
        <is>
          <t>Cocher DELETE puis TRASH puis MOVE puis DRY_RUN</t>
        </is>
      </c>
      <c r="F24" s="2" t="inlineStr">
        <is>
          <t>Manuel</t>
        </is>
      </c>
      <c r="G24" s="2" t="inlineStr">
        <is>
          <t>T-001 OK</t>
        </is>
      </c>
      <c r="H24" s="2" t="inlineStr">
        <is>
          <t>—</t>
        </is>
      </c>
      <c r="I24" s="2" t="inlineStr">
        <is>
          <t>Couleur bouton : rouge / orange / bleu / vert</t>
        </is>
      </c>
      <c r="J24" s="2" t="inlineStr"/>
      <c r="K24" s="2" t="inlineStr">
        <is>
          <t>À faire</t>
        </is>
      </c>
      <c r="L24" s="2" t="inlineStr">
        <is>
          <t>Mineur</t>
        </is>
      </c>
      <c r="M24" s="2" t="inlineStr"/>
      <c r="N24" s="2" t="inlineStr"/>
      <c r="O24" s="2" t="inlineStr"/>
    </row>
    <row r="25">
      <c r="A25" s="2" t="inlineStr">
        <is>
          <t>T-024</t>
        </is>
      </c>
      <c r="B25" s="2" t="inlineStr">
        <is>
          <t>IHM</t>
        </is>
      </c>
      <c r="C25" s="2" t="inlineStr">
        <is>
          <t>REQ-IHM-24</t>
        </is>
      </c>
      <c r="D25" s="2" t="inlineStr">
        <is>
          <t>Mode MOVE révèle dest</t>
        </is>
      </c>
      <c r="E25" s="2" t="inlineStr">
        <is>
          <t>Cocher MOVE dans Doublons</t>
        </is>
      </c>
      <c r="F25" s="2" t="inlineStr">
        <is>
          <t>Manuel</t>
        </is>
      </c>
      <c r="G25" s="2" t="inlineStr">
        <is>
          <t>T-001 OK</t>
        </is>
      </c>
      <c r="H25" s="2" t="inlineStr">
        <is>
          <t>—</t>
        </is>
      </c>
      <c r="I25" s="2" t="inlineStr">
        <is>
          <t>Champ Destination MOVE apparaît</t>
        </is>
      </c>
      <c r="J25" s="2" t="inlineStr"/>
      <c r="K25" s="2" t="inlineStr">
        <is>
          <t>À faire</t>
        </is>
      </c>
      <c r="L25" s="2" t="inlineStr">
        <is>
          <t>Majeur</t>
        </is>
      </c>
      <c r="M25" s="2" t="inlineStr"/>
      <c r="N25" s="2" t="inlineStr"/>
      <c r="O25" s="2" t="inlineStr"/>
    </row>
    <row r="26">
      <c r="A26" s="2" t="inlineStr">
        <is>
          <t>T-025</t>
        </is>
      </c>
      <c r="B26" s="2" t="inlineStr">
        <is>
          <t>IHM</t>
        </is>
      </c>
      <c r="C26" s="2" t="inlineStr">
        <is>
          <t>REQ-IHM-25</t>
        </is>
      </c>
      <c r="D26" s="2" t="inlineStr">
        <is>
          <t>Onglets Doublons Résultats/Détails</t>
        </is>
      </c>
      <c r="E26" s="2" t="inlineStr">
        <is>
          <t>Onglet Doublons : vérifier le bandeau d'onglets</t>
        </is>
      </c>
      <c r="F26" s="2" t="inlineStr">
        <is>
          <t>Manuel</t>
        </is>
      </c>
      <c r="G26" s="2" t="inlineStr">
        <is>
          <t>T-001 OK</t>
        </is>
      </c>
      <c r="H26" s="2" t="inlineStr">
        <is>
          <t>—</t>
        </is>
      </c>
      <c r="I26" s="2" t="inlineStr">
        <is>
          <t>Exactement 2 onglets : Résultats + Détails</t>
        </is>
      </c>
      <c r="J26" s="2" t="inlineStr"/>
      <c r="K26" s="2" t="inlineStr">
        <is>
          <t>À faire</t>
        </is>
      </c>
      <c r="L26" s="2" t="inlineStr">
        <is>
          <t>Mineur</t>
        </is>
      </c>
      <c r="M26" s="2" t="inlineStr"/>
      <c r="N26" s="2" t="inlineStr"/>
      <c r="O26" s="2" t="inlineStr"/>
    </row>
    <row r="27">
      <c r="A27" s="2" t="inlineStr">
        <is>
          <t>T-026</t>
        </is>
      </c>
      <c r="B27" s="2" t="inlineStr">
        <is>
          <t>IHM</t>
        </is>
      </c>
      <c r="C27" s="2" t="inlineStr">
        <is>
          <t>REQ-IHM-26</t>
        </is>
      </c>
      <c r="D27" s="2" t="inlineStr">
        <is>
          <t>Statistiques Historique compactes</t>
        </is>
      </c>
      <c r="E27" s="2" t="inlineStr">
        <is>
          <t>Onglet Historique vierge</t>
        </is>
      </c>
      <c r="F27" s="2" t="inlineStr">
        <is>
          <t>Manuel</t>
        </is>
      </c>
      <c r="G27" s="2" t="inlineStr">
        <is>
          <t>T-001 OK</t>
        </is>
      </c>
      <c r="H27" s="2" t="inlineStr">
        <is>
          <t>—</t>
        </is>
      </c>
      <c r="I27" s="2" t="inlineStr">
        <is>
          <t>Étiquette de statistiques affiche « Aucune opération » (compact)</t>
        </is>
      </c>
      <c r="J27" s="2" t="inlineStr"/>
      <c r="K27" s="2" t="inlineStr">
        <is>
          <t>À faire</t>
        </is>
      </c>
      <c r="L27" s="2" t="inlineStr">
        <is>
          <t>Cosmétique</t>
        </is>
      </c>
      <c r="M27" s="2" t="inlineStr"/>
      <c r="N27" s="2" t="inlineStr"/>
      <c r="O27" s="2" t="inlineStr"/>
    </row>
    <row r="28">
      <c r="A28" s="2" t="inlineStr">
        <is>
          <t>T-027</t>
        </is>
      </c>
      <c r="B28" s="2" t="inlineStr">
        <is>
          <t>IHM</t>
        </is>
      </c>
      <c r="C28" s="2" t="inlineStr">
        <is>
          <t>REQ-IHM-27</t>
        </is>
      </c>
      <c r="D28" s="2" t="inlineStr">
        <is>
          <t>Boutons Annuler désactivés si vide</t>
        </is>
      </c>
      <c r="E28" s="2" t="inlineStr">
        <is>
          <t>Onglet Historique vierge</t>
        </is>
      </c>
      <c r="F28" s="2" t="inlineStr">
        <is>
          <t>Manuel</t>
        </is>
      </c>
      <c r="G28" s="2" t="inlineStr">
        <is>
          <t>T-001 OK</t>
        </is>
      </c>
      <c r="H28" s="2" t="inlineStr">
        <is>
          <t>—</t>
        </is>
      </c>
      <c r="I28" s="2" t="inlineStr">
        <is>
          <t>↩️ Annuler dernière + ↩️ Annuler tout sont à l'état désactivé</t>
        </is>
      </c>
      <c r="J28" s="2" t="inlineStr"/>
      <c r="K28" s="2" t="inlineStr">
        <is>
          <t>À faire</t>
        </is>
      </c>
      <c r="L28" s="2" t="inlineStr">
        <is>
          <t>Majeur</t>
        </is>
      </c>
      <c r="M28" s="2" t="inlineStr"/>
      <c r="N28" s="2" t="inlineStr"/>
      <c r="O28" s="2" t="inlineStr"/>
    </row>
    <row r="29">
      <c r="A29" s="2" t="inlineStr">
        <is>
          <t>T-028</t>
        </is>
      </c>
      <c r="B29" s="2" t="inlineStr">
        <is>
          <t>IHM</t>
        </is>
      </c>
      <c r="C29" s="2" t="inlineStr">
        <is>
          <t>REQ-IHM-28</t>
        </is>
      </c>
      <c r="D29" s="2" t="inlineStr">
        <is>
          <t>Panneau intégré résultat + 📂 Ouvrir</t>
        </is>
      </c>
      <c r="E29" s="2" t="inlineStr">
        <is>
          <t>Lancer une organisation simple, attendre la fin</t>
        </is>
      </c>
      <c r="F29" s="2" t="inlineStr">
        <is>
          <t>Manuel</t>
        </is>
      </c>
      <c r="G29" s="2" t="inlineStr">
        <is>
          <t>T-001 OK</t>
        </is>
      </c>
      <c r="H29" s="2" t="inlineStr">
        <is>
          <t>input_nominal/</t>
        </is>
      </c>
      <c r="I29" s="2" t="inlineStr">
        <is>
          <t>Panneau intégré avec zone de texte + bouton « 📂 Ouvrir destination » — AUCUNE nouvelle fenêtre (refonte 2026-05-18)</t>
        </is>
      </c>
      <c r="J29" s="2" t="inlineStr"/>
      <c r="K29" s="2" t="inlineStr">
        <is>
          <t>À faire</t>
        </is>
      </c>
      <c r="L29" s="2" t="inlineStr">
        <is>
          <t>Mineur</t>
        </is>
      </c>
      <c r="M29" s="2" t="inlineStr"/>
      <c r="N29" s="2" t="inlineStr"/>
      <c r="O29" s="2" t="inlineStr"/>
    </row>
    <row r="30">
      <c r="A30" s="2" t="inlineStr">
        <is>
          <t>T-029</t>
        </is>
      </c>
      <c r="B30" s="2" t="inlineStr">
        <is>
          <t>IHM</t>
        </is>
      </c>
      <c r="C30" s="2" t="inlineStr">
        <is>
          <t>REQ-IHM-29</t>
        </is>
      </c>
      <c r="D30" s="2" t="inlineStr">
        <is>
          <t>Toast Windows fin organisation</t>
        </is>
      </c>
      <c r="E30" s="2" t="inlineStr">
        <is>
          <t>Cocher Notification système, organiser</t>
        </is>
      </c>
      <c r="F30" s="2" t="inlineStr">
        <is>
          <t>Manuel</t>
        </is>
      </c>
      <c r="G30" s="2" t="inlineStr">
        <is>
          <t>T-001 OK + plyer dispo</t>
        </is>
      </c>
      <c r="H30" s="2" t="inlineStr">
        <is>
          <t>input_nominal/</t>
        </is>
      </c>
      <c r="I30" s="2" t="inlineStr">
        <is>
          <t>Toast système non-modale visible 5s</t>
        </is>
      </c>
      <c r="J30" s="2" t="inlineStr"/>
      <c r="K30" s="2" t="inlineStr">
        <is>
          <t>À faire</t>
        </is>
      </c>
      <c r="L30" s="2" t="inlineStr">
        <is>
          <t>Mineur</t>
        </is>
      </c>
      <c r="M30" s="2" t="inlineStr"/>
      <c r="N30" s="2" t="inlineStr"/>
      <c r="O30" s="2" t="inlineStr"/>
    </row>
    <row r="31">
      <c r="A31" s="2" t="inlineStr">
        <is>
          <t>T-030</t>
        </is>
      </c>
      <c r="B31" s="2" t="inlineStr">
        <is>
          <t>IHM</t>
        </is>
      </c>
      <c r="C31" s="2" t="inlineStr">
        <is>
          <t>REQ-IHM-30</t>
        </is>
      </c>
      <c r="D31" s="2" t="inlineStr">
        <is>
          <t>Couleurs sémantiques cohérentes</t>
        </is>
      </c>
      <c r="E31" s="2" t="inlineStr">
        <is>
          <t>Inspecter visuellement les boutons d'action principale / danger / avertissement des 4 panneaux</t>
        </is>
      </c>
      <c r="F31" s="2" t="inlineStr">
        <is>
          <t>Manuel</t>
        </is>
      </c>
      <c r="G31" s="2" t="inlineStr">
        <is>
          <t>T-001 OK</t>
        </is>
      </c>
      <c r="H31" s="2" t="inlineStr">
        <is>
          <t>—</t>
        </is>
      </c>
      <c r="I31" s="2" t="inlineStr">
        <is>
          <t>Vert (principal) / Rouge (danger) / Orange (avertissement) uniformes</t>
        </is>
      </c>
      <c r="J31" s="2" t="inlineStr"/>
      <c r="K31" s="2" t="inlineStr">
        <is>
          <t>À faire</t>
        </is>
      </c>
      <c r="L31" s="2" t="inlineStr">
        <is>
          <t>Cosmétique</t>
        </is>
      </c>
      <c r="M31" s="2" t="inlineStr"/>
      <c r="N31" s="2" t="inlineStr"/>
      <c r="O31" s="2" t="inlineStr"/>
    </row>
    <row r="32">
      <c r="A32" s="3" t="inlineStr">
        <is>
          <t>T-031</t>
        </is>
      </c>
      <c r="B32" s="3" t="inlineStr">
        <is>
          <t>Paramètres</t>
        </is>
      </c>
      <c r="C32" s="3" t="inlineStr">
        <is>
          <t>REQ-PRM-01</t>
        </is>
      </c>
      <c r="D32" s="3" t="inlineStr">
        <is>
          <t>Sauvegarde du thème + persistance</t>
        </is>
      </c>
      <c r="E32" s="3" t="inlineStr">
        <is>
          <t>Onglet Paramètres : Sombre → Clair → Sauvegarder, fermer, relancer</t>
        </is>
      </c>
      <c r="F32" s="3" t="inlineStr">
        <is>
          <t>Manuel</t>
        </is>
      </c>
      <c r="G32" s="3" t="inlineStr">
        <is>
          <t>T-001 OK</t>
        </is>
      </c>
      <c r="H32" s="3" t="inlineStr">
        <is>
          <t>—</t>
        </is>
      </c>
      <c r="I32" s="3" t="inlineStr">
        <is>
          <t>Thème Clair restauré après redémarrage</t>
        </is>
      </c>
      <c r="J32" s="3" t="inlineStr"/>
      <c r="K32" s="3" t="inlineStr">
        <is>
          <t>À faire</t>
        </is>
      </c>
      <c r="L32" s="3" t="inlineStr">
        <is>
          <t>Majeur</t>
        </is>
      </c>
      <c r="M32" s="3" t="inlineStr"/>
      <c r="N32" s="3" t="inlineStr"/>
      <c r="O32" s="3" t="inlineStr"/>
    </row>
    <row r="33">
      <c r="A33" s="3" t="inlineStr">
        <is>
          <t>T-032</t>
        </is>
      </c>
      <c r="B33" s="3" t="inlineStr">
        <is>
          <t>Paramètres</t>
        </is>
      </c>
      <c r="C33" s="3" t="inlineStr">
        <is>
          <t>REQ-PRM-02</t>
        </is>
      </c>
      <c r="D33" s="3" t="inlineStr">
        <is>
          <t>Réinitialisation aux valeurs par défaut avec confirmation</t>
        </is>
      </c>
      <c r="E33" s="3" t="inlineStr">
        <is>
          <t>Cliquer Réinitialiser puis confirmer la boîte de dialogue</t>
        </is>
      </c>
      <c r="F33" s="3" t="inlineStr">
        <is>
          <t>Manuel</t>
        </is>
      </c>
      <c r="G33" s="3" t="inlineStr">
        <is>
          <t>T-001 OK</t>
        </is>
      </c>
      <c r="H33" s="3" t="inlineStr">
        <is>
          <t>—</t>
        </is>
      </c>
      <c r="I33" s="3" t="inlineStr">
        <is>
          <t>Toutes les valeurs reviennent aux valeurs par défaut de la configuration</t>
        </is>
      </c>
      <c r="J33" s="3" t="inlineStr"/>
      <c r="K33" s="3" t="inlineStr">
        <is>
          <t>À faire</t>
        </is>
      </c>
      <c r="L33" s="3" t="inlineStr">
        <is>
          <t>Majeur</t>
        </is>
      </c>
      <c r="M33" s="3" t="inlineStr"/>
      <c r="N33" s="3" t="inlineStr"/>
      <c r="O33" s="3" t="inlineStr"/>
    </row>
    <row r="34">
      <c r="A34" s="3" t="inlineStr">
        <is>
          <t>T-033</t>
        </is>
      </c>
      <c r="B34" s="3" t="inlineStr">
        <is>
          <t>Paramètres</t>
        </is>
      </c>
      <c r="C34" s="3" t="inlineStr">
        <is>
          <t>REQ-PRM-03</t>
        </is>
      </c>
      <c r="D34" s="3" t="inlineStr">
        <is>
          <t>Vider cache des métadonnées</t>
        </is>
      </c>
      <c r="E34" s="3" t="inlineStr">
        <is>
          <t>Cliquer 🗑 Vider cache + confirm</t>
        </is>
      </c>
      <c r="F34" s="3" t="inlineStr">
        <is>
          <t>Manuel</t>
        </is>
      </c>
      <c r="G34" s="3" t="inlineStr">
        <is>
          <t>T-001 OK + cache non vide</t>
        </is>
      </c>
      <c r="H34" s="3" t="inlineStr">
        <is>
          <t>—</t>
        </is>
      </c>
      <c r="I34" s="3" t="inlineStr">
        <is>
          <t>Stats cache passent à 0 entrées en mémoire et disque</t>
        </is>
      </c>
      <c r="J34" s="3" t="inlineStr"/>
      <c r="K34" s="3" t="inlineStr">
        <is>
          <t>À faire</t>
        </is>
      </c>
      <c r="L34" s="3" t="inlineStr">
        <is>
          <t>Mineur</t>
        </is>
      </c>
      <c r="M34" s="3" t="inlineStr"/>
      <c r="N34" s="3" t="inlineStr"/>
      <c r="O34" s="3" t="inlineStr"/>
    </row>
    <row r="35">
      <c r="A35" s="3" t="inlineStr">
        <is>
          <t>T-034</t>
        </is>
      </c>
      <c r="B35" s="3" t="inlineStr">
        <is>
          <t>Paramètres</t>
        </is>
      </c>
      <c r="C35" s="3" t="inlineStr">
        <is>
          <t>REQ-PRM-04</t>
        </is>
      </c>
      <c r="D35" s="3" t="inlineStr">
        <is>
          <t>Planification activation</t>
        </is>
      </c>
      <c r="E35" s="3" t="inlineStr">
        <is>
          <t>Switch ON + Heure '23:00' + Sauvegarder</t>
        </is>
      </c>
      <c r="F35" s="3" t="inlineStr">
        <is>
          <t>Manuel</t>
        </is>
      </c>
      <c r="G35" s="3" t="inlineStr">
        <is>
          <t>T-001 OK</t>
        </is>
      </c>
      <c r="H35" s="3" t="inlineStr">
        <is>
          <t>—</t>
        </is>
      </c>
      <c r="I35" s="3" t="inlineStr">
        <is>
          <t>Status « ⏰ Prochaine exécution : … 23:00 »</t>
        </is>
      </c>
      <c r="J35" s="3" t="inlineStr"/>
      <c r="K35" s="3" t="inlineStr">
        <is>
          <t>À faire</t>
        </is>
      </c>
      <c r="L35" s="3" t="inlineStr">
        <is>
          <t>Majeur</t>
        </is>
      </c>
      <c r="M35" s="3" t="inlineStr"/>
      <c r="N35" s="3" t="inlineStr"/>
      <c r="O35" s="3" t="inlineStr"/>
    </row>
    <row r="36">
      <c r="A36" s="3" t="inlineStr">
        <is>
          <t>T-035</t>
        </is>
      </c>
      <c r="B36" s="3" t="inlineStr">
        <is>
          <t>Paramètres</t>
        </is>
      </c>
      <c r="C36" s="3" t="inlineStr">
        <is>
          <t>REQ-PRM-05</t>
        </is>
      </c>
      <c r="D36" s="3" t="inlineStr">
        <is>
          <t>Heure invalide rejetée</t>
        </is>
      </c>
      <c r="E36" s="3" t="inlineStr">
        <is>
          <t>Saisir '9999:99' puis activer</t>
        </is>
      </c>
      <c r="F36" s="3" t="inlineStr">
        <is>
          <t>Manuel</t>
        </is>
      </c>
      <c r="G36" s="3" t="inlineStr">
        <is>
          <t>T-001 OK</t>
        </is>
      </c>
      <c r="H36" s="3" t="inlineStr">
        <is>
          <t>—</t>
        </is>
      </c>
      <c r="I36" s="3" t="inlineStr">
        <is>
          <t>Switch OFF ou statut « ⚠️ Heure invalide »</t>
        </is>
      </c>
      <c r="J36" s="3" t="inlineStr"/>
      <c r="K36" s="3" t="inlineStr">
        <is>
          <t>À faire</t>
        </is>
      </c>
      <c r="L36" s="3" t="inlineStr">
        <is>
          <t>Mineur</t>
        </is>
      </c>
      <c r="M36" s="3" t="inlineStr"/>
      <c r="N36" s="3" t="inlineStr"/>
      <c r="O36" s="3" t="inlineStr"/>
    </row>
    <row r="37">
      <c r="A37" s="3" t="inlineStr">
        <is>
          <t>T-036</t>
        </is>
      </c>
      <c r="B37" s="3" t="inlineStr">
        <is>
          <t>Paramètres</t>
        </is>
      </c>
      <c r="C37" s="3" t="inlineStr">
        <is>
          <t>REQ-PRM-06</t>
        </is>
      </c>
      <c r="D37" s="3" t="inlineStr">
        <is>
          <t>Action défaut Copy/Move</t>
        </is>
      </c>
      <c r="E37" s="3" t="inlineStr">
        <is>
          <t>Radio 'Déplacer' + Sauvegarder + relancer</t>
        </is>
      </c>
      <c r="F37" s="3" t="inlineStr">
        <is>
          <t>Manuel</t>
        </is>
      </c>
      <c r="G37" s="3" t="inlineStr">
        <is>
          <t>T-001 OK</t>
        </is>
      </c>
      <c r="H37" s="3" t="inlineStr">
        <is>
          <t>—</t>
        </is>
      </c>
      <c r="I37" s="3" t="inlineStr">
        <is>
          <t>Onglet Organisation Radio Move pré-cochée</t>
        </is>
      </c>
      <c r="J37" s="3" t="inlineStr"/>
      <c r="K37" s="3" t="inlineStr">
        <is>
          <t>À faire</t>
        </is>
      </c>
      <c r="L37" s="3" t="inlineStr">
        <is>
          <t>Mineur</t>
        </is>
      </c>
      <c r="M37" s="3" t="inlineStr"/>
      <c r="N37" s="3" t="inlineStr"/>
      <c r="O37" s="3" t="inlineStr"/>
    </row>
    <row r="38">
      <c r="A38" s="3" t="inlineStr">
        <is>
          <t>T-037</t>
        </is>
      </c>
      <c r="B38" s="3" t="inlineStr">
        <is>
          <t>Paramètres</t>
        </is>
      </c>
      <c r="C38" s="3" t="inlineStr">
        <is>
          <t>REQ-PRM-07</t>
        </is>
      </c>
      <c r="D38" s="3" t="inlineStr">
        <is>
          <t>Géocodage on/off</t>
        </is>
      </c>
      <c r="E38" s="3" t="inlineStr">
        <is>
          <t>Décocher Géocodage + Sauvegarder</t>
        </is>
      </c>
      <c r="F38" s="3" t="inlineStr">
        <is>
          <t>Manuel</t>
        </is>
      </c>
      <c r="G38" s="3" t="inlineStr">
        <is>
          <t>T-001 OK</t>
        </is>
      </c>
      <c r="H38" s="3" t="inlineStr">
        <is>
          <t>—</t>
        </is>
      </c>
      <c r="I38" s="3" t="inlineStr">
        <is>
          <t>GPSProcessor.geocoding_enabled = False au prochain run</t>
        </is>
      </c>
      <c r="J38" s="3" t="inlineStr"/>
      <c r="K38" s="3" t="inlineStr">
        <is>
          <t>À faire</t>
        </is>
      </c>
      <c r="L38" s="3" t="inlineStr">
        <is>
          <t>Mineur</t>
        </is>
      </c>
      <c r="M38" s="3" t="inlineStr"/>
      <c r="N38" s="3" t="inlineStr"/>
      <c r="O38" s="3" t="inlineStr"/>
    </row>
    <row r="39">
      <c r="A39" s="3" t="inlineStr">
        <is>
          <t>T-038</t>
        </is>
      </c>
      <c r="B39" s="3" t="inlineStr">
        <is>
          <t>Paramètres</t>
        </is>
      </c>
      <c r="C39" s="3" t="inlineStr">
        <is>
          <t>REQ-PRM-08</t>
        </is>
      </c>
      <c r="D39" s="3" t="inlineStr">
        <is>
          <t>Clé API PositionStack</t>
        </is>
      </c>
      <c r="E39" s="3" t="inlineStr">
        <is>
          <t>Saisir clé '1234abc' + Sauvegarder</t>
        </is>
      </c>
      <c r="F39" s="3" t="inlineStr">
        <is>
          <t>Manuel</t>
        </is>
      </c>
      <c r="G39" s="3" t="inlineStr">
        <is>
          <t>T-001 OK</t>
        </is>
      </c>
      <c r="H39" s="3" t="inlineStr">
        <is>
          <t>—</t>
        </is>
      </c>
      <c r="I39" s="3" t="inlineStr">
        <is>
          <t>Champ masqué (*), valeur persistée</t>
        </is>
      </c>
      <c r="J39" s="3" t="inlineStr"/>
      <c r="K39" s="3" t="inlineStr">
        <is>
          <t>À faire</t>
        </is>
      </c>
      <c r="L39" s="3" t="inlineStr">
        <is>
          <t>Mineur</t>
        </is>
      </c>
      <c r="M39" s="3" t="inlineStr"/>
      <c r="N39" s="3" t="inlineStr"/>
      <c r="O39" s="3" t="inlineStr"/>
    </row>
    <row r="40">
      <c r="A40" s="3" t="inlineStr">
        <is>
          <t>T-039</t>
        </is>
      </c>
      <c r="B40" s="3" t="inlineStr">
        <is>
          <t>Paramètres</t>
        </is>
      </c>
      <c r="C40" s="3" t="inlineStr">
        <is>
          <t>REQ-PRM-09</t>
        </is>
      </c>
      <c r="D40" s="3" t="inlineStr">
        <is>
          <t>Niveau log change</t>
        </is>
      </c>
      <c r="E40" s="3" t="inlineStr">
        <is>
          <t>Sélectionner DEBUG + Sauvegarder + relancer</t>
        </is>
      </c>
      <c r="F40" s="3" t="inlineStr">
        <is>
          <t>Manuel</t>
        </is>
      </c>
      <c r="G40" s="3" t="inlineStr">
        <is>
          <t>T-001 OK</t>
        </is>
      </c>
      <c r="H40" s="3" t="inlineStr">
        <is>
          <t>—</t>
        </is>
      </c>
      <c r="I40" s="3" t="inlineStr">
        <is>
          <t>Logs DEBUG visibles dans LOCALAPPDATA/PhotoOrganizer/logs/</t>
        </is>
      </c>
      <c r="J40" s="3" t="inlineStr"/>
      <c r="K40" s="3" t="inlineStr">
        <is>
          <t>À faire</t>
        </is>
      </c>
      <c r="L40" s="3" t="inlineStr">
        <is>
          <t>Mineur</t>
        </is>
      </c>
      <c r="M40" s="3" t="inlineStr"/>
      <c r="N40" s="3" t="inlineStr"/>
      <c r="O40" s="3" t="inlineStr"/>
    </row>
    <row r="41">
      <c r="A41" s="3" t="inlineStr">
        <is>
          <t>T-040</t>
        </is>
      </c>
      <c r="B41" s="3" t="inlineStr">
        <is>
          <t>Paramètres</t>
        </is>
      </c>
      <c r="C41" s="3" t="inlineStr">
        <is>
          <t>REQ-PRM-10</t>
        </is>
      </c>
      <c r="D41" s="3" t="inlineStr">
        <is>
          <t>Effacer dossiers récents</t>
        </is>
      </c>
      <c r="E41" s="3" t="inlineStr">
        <is>
          <t>Cliquer Effacer + confirm</t>
        </is>
      </c>
      <c r="F41" s="3" t="inlineStr">
        <is>
          <t>Manuel</t>
        </is>
      </c>
      <c r="G41" s="3" t="inlineStr">
        <is>
          <t>Source/Dest récents non vides</t>
        </is>
      </c>
      <c r="H41" s="3" t="inlineStr">
        <is>
          <t>—</t>
        </is>
      </c>
      <c r="I41" s="3" t="inlineStr">
        <is>
          <t>AppConfig.recent_sources/destinations vides</t>
        </is>
      </c>
      <c r="J41" s="3" t="inlineStr"/>
      <c r="K41" s="3" t="inlineStr">
        <is>
          <t>À faire</t>
        </is>
      </c>
      <c r="L41" s="3" t="inlineStr">
        <is>
          <t>Mineur</t>
        </is>
      </c>
      <c r="M41" s="3" t="inlineStr"/>
      <c r="N41" s="3" t="inlineStr"/>
      <c r="O41" s="3" t="inlineStr"/>
    </row>
    <row r="42">
      <c r="A42" s="3" t="inlineStr">
        <is>
          <t>T-041</t>
        </is>
      </c>
      <c r="B42" s="3" t="inlineStr">
        <is>
          <t>Paramètres</t>
        </is>
      </c>
      <c r="C42" s="3" t="inlineStr">
        <is>
          <t>REQ-PRM-11</t>
        </is>
      </c>
      <c r="D42" s="3" t="inlineStr">
        <is>
          <t>Window position/taille persistée</t>
        </is>
      </c>
      <c r="E42" s="3" t="inlineStr">
        <is>
          <t>Redimensionner fenêtre + fermer + relancer</t>
        </is>
      </c>
      <c r="F42" s="3" t="inlineStr">
        <is>
          <t>Manuel</t>
        </is>
      </c>
      <c r="G42" s="3" t="inlineStr">
        <is>
          <t>T-001 OK</t>
        </is>
      </c>
      <c r="H42" s="3" t="inlineStr">
        <is>
          <t>—</t>
        </is>
      </c>
      <c r="I42" s="3" t="inlineStr">
        <is>
          <t>Position/taille restaurées (window_width/height/x/y)</t>
        </is>
      </c>
      <c r="J42" s="3" t="inlineStr"/>
      <c r="K42" s="3" t="inlineStr">
        <is>
          <t>À faire</t>
        </is>
      </c>
      <c r="L42" s="3" t="inlineStr">
        <is>
          <t>Mineur</t>
        </is>
      </c>
      <c r="M42" s="3" t="inlineStr"/>
      <c r="N42" s="3" t="inlineStr"/>
      <c r="O42" s="3" t="inlineStr"/>
    </row>
    <row r="43">
      <c r="A43" s="3" t="inlineStr">
        <is>
          <t>T-042</t>
        </is>
      </c>
      <c r="B43" s="3" t="inlineStr">
        <is>
          <t>Paramètres</t>
        </is>
      </c>
      <c r="C43" s="3" t="inlineStr">
        <is>
          <t>REQ-PRM-12</t>
        </is>
      </c>
      <c r="D43" s="3" t="inlineStr">
        <is>
          <t>Récents source pré-rempli</t>
        </is>
      </c>
      <c r="E43" s="3" t="inlineStr">
        <is>
          <t>Utiliser source A puis fermer + relancer</t>
        </is>
      </c>
      <c r="F43" s="3" t="inlineStr">
        <is>
          <t>Manuel</t>
        </is>
      </c>
      <c r="G43" s="3" t="inlineStr">
        <is>
          <t>T-001 OK</t>
        </is>
      </c>
      <c r="H43" s="3" t="inlineStr">
        <is>
          <t>—</t>
        </is>
      </c>
      <c r="I43" s="3" t="inlineStr">
        <is>
          <t>Source A pré-renseignée dans Champ Source</t>
        </is>
      </c>
      <c r="J43" s="3" t="inlineStr"/>
      <c r="K43" s="3" t="inlineStr">
        <is>
          <t>À faire</t>
        </is>
      </c>
      <c r="L43" s="3" t="inlineStr">
        <is>
          <t>Mineur</t>
        </is>
      </c>
      <c r="M43" s="3" t="inlineStr"/>
      <c r="N43" s="3" t="inlineStr"/>
      <c r="O43" s="3" t="inlineStr"/>
    </row>
    <row r="44">
      <c r="A44" s="3" t="inlineStr">
        <is>
          <t>T-043</t>
        </is>
      </c>
      <c r="B44" s="3" t="inlineStr">
        <is>
          <t>Paramètres</t>
        </is>
      </c>
      <c r="C44" s="3" t="inlineStr">
        <is>
          <t>REQ-PRM-13</t>
        </is>
      </c>
      <c r="D44" s="3" t="inlineStr">
        <is>
          <t>Boîte de confirmation Sauvegarder</t>
        </is>
      </c>
      <c r="E44" s="3" t="inlineStr">
        <is>
          <t>Cliquer Sauvegarder</t>
        </is>
      </c>
      <c r="F44" s="3" t="inlineStr">
        <is>
          <t>Manuel</t>
        </is>
      </c>
      <c r="G44" s="3" t="inlineStr">
        <is>
          <t>Modifications en attente</t>
        </is>
      </c>
      <c r="H44" s="3" t="inlineStr">
        <is>
          <t>—</t>
        </is>
      </c>
      <c r="I44" s="3" t="inlineStr">
        <is>
          <t>Boîte de dialogue « Les paramètres ont été sauvegardés. »</t>
        </is>
      </c>
      <c r="J44" s="3" t="inlineStr"/>
      <c r="K44" s="3" t="inlineStr">
        <is>
          <t>À faire</t>
        </is>
      </c>
      <c r="L44" s="3" t="inlineStr">
        <is>
          <t>Cosmétique</t>
        </is>
      </c>
      <c r="M44" s="3" t="inlineStr"/>
      <c r="N44" s="3" t="inlineStr"/>
      <c r="O44" s="3" t="inlineStr"/>
    </row>
    <row r="45">
      <c r="A45" s="3" t="inlineStr">
        <is>
          <t>T-044</t>
        </is>
      </c>
      <c r="B45" s="3" t="inlineStr">
        <is>
          <t>Paramètres</t>
        </is>
      </c>
      <c r="C45" s="3" t="inlineStr">
        <is>
          <t>REQ-PRM-14</t>
        </is>
      </c>
      <c r="D45" s="3" t="inlineStr">
        <is>
          <t>Cache TTL respecté</t>
        </is>
      </c>
      <c r="E45" s="3" t="inlineStr">
        <is>
          <t>Forcer un scan, attendre TTL+1, relancer scan même fichier</t>
        </is>
      </c>
      <c r="F45" s="3" t="inlineStr">
        <is>
          <t>Manuel</t>
        </is>
      </c>
      <c r="G45" s="3" t="inlineStr">
        <is>
          <t>Cache enabled</t>
        </is>
      </c>
      <c r="H45" s="3" t="inlineStr">
        <is>
          <t>1 photo</t>
        </is>
      </c>
      <c r="I45" s="3" t="inlineStr">
        <is>
          <t>Re-lecture EXIF (cache miss après TTL)</t>
        </is>
      </c>
      <c r="J45" s="3" t="inlineStr"/>
      <c r="K45" s="3" t="inlineStr">
        <is>
          <t>À faire</t>
        </is>
      </c>
      <c r="L45" s="3" t="inlineStr">
        <is>
          <t>Mineur</t>
        </is>
      </c>
      <c r="M45" s="3" t="inlineStr"/>
      <c r="N45" s="3" t="inlineStr"/>
      <c r="O45" s="3" t="inlineStr"/>
    </row>
    <row r="46">
      <c r="A46" s="3" t="inlineStr">
        <is>
          <t>T-045</t>
        </is>
      </c>
      <c r="B46" s="3" t="inlineStr">
        <is>
          <t>Paramètres</t>
        </is>
      </c>
      <c r="C46" s="3" t="inlineStr">
        <is>
          <t>REQ-PRM-15</t>
        </is>
      </c>
      <c r="D46" s="3" t="inlineStr">
        <is>
          <t>max_cache_size_mb limite</t>
        </is>
      </c>
      <c r="E46" s="3" t="inlineStr">
        <is>
          <t>Saturer cache au-delà de la limite</t>
        </is>
      </c>
      <c r="F46" s="3" t="inlineStr">
        <is>
          <t>Manuel</t>
        </is>
      </c>
      <c r="G46" s="3" t="inlineStr">
        <is>
          <t>Cache enabled</t>
        </is>
      </c>
      <c r="H46" s="3" t="inlineStr">
        <is>
          <t>1000 photos</t>
        </is>
      </c>
      <c r="I46" s="3" t="inlineStr">
        <is>
          <t>Évictions LRU, taille reste sous la limite</t>
        </is>
      </c>
      <c r="J46" s="3" t="inlineStr"/>
      <c r="K46" s="3" t="inlineStr">
        <is>
          <t>À faire</t>
        </is>
      </c>
      <c r="L46" s="3" t="inlineStr">
        <is>
          <t>Mineur</t>
        </is>
      </c>
      <c r="M46" s="3" t="inlineStr"/>
      <c r="N46" s="3" t="inlineStr"/>
      <c r="O46" s="3" t="inlineStr"/>
    </row>
    <row r="47">
      <c r="A47" s="3" t="inlineStr">
        <is>
          <t>T-046</t>
        </is>
      </c>
      <c r="B47" s="3" t="inlineStr">
        <is>
          <t>Paramètres</t>
        </is>
      </c>
      <c r="C47" s="3" t="inlineStr">
        <is>
          <t>REQ-PRM-16</t>
        </is>
      </c>
      <c r="D47" s="3" t="inlineStr">
        <is>
          <t>Theme system auto-détection</t>
        </is>
      </c>
      <c r="E47" s="3" t="inlineStr">
        <is>
          <t>Sélectionner thème 'Système'</t>
        </is>
      </c>
      <c r="F47" s="3" t="inlineStr">
        <is>
          <t>Manuel</t>
        </is>
      </c>
      <c r="G47" s="3" t="inlineStr">
        <is>
          <t>T-001 OK</t>
        </is>
      </c>
      <c r="H47" s="3" t="inlineStr">
        <is>
          <t>—</t>
        </is>
      </c>
      <c r="I47" s="3" t="inlineStr">
        <is>
          <t>Suit le thème Windows (darkdetect)</t>
        </is>
      </c>
      <c r="J47" s="3" t="inlineStr"/>
      <c r="K47" s="3" t="inlineStr">
        <is>
          <t>À faire</t>
        </is>
      </c>
      <c r="L47" s="3" t="inlineStr">
        <is>
          <t>Mineur</t>
        </is>
      </c>
      <c r="M47" s="3" t="inlineStr"/>
      <c r="N47" s="3" t="inlineStr"/>
      <c r="O47" s="3" t="inlineStr"/>
    </row>
    <row r="48">
      <c r="A48" s="3" t="inlineStr">
        <is>
          <t>T-047</t>
        </is>
      </c>
      <c r="B48" s="3" t="inlineStr">
        <is>
          <t>Paramètres</t>
        </is>
      </c>
      <c r="C48" s="3" t="inlineStr">
        <is>
          <t>REQ-PRM-17</t>
        </is>
      </c>
      <c r="D48" s="3" t="inlineStr">
        <is>
          <t>Schedule trigger callback</t>
        </is>
      </c>
      <c r="E48" s="3" t="inlineStr">
        <is>
          <t>Activer schedule à HH:MM imminent (1 min)</t>
        </is>
      </c>
      <c r="F48" s="3" t="inlineStr">
        <is>
          <t>Manuel</t>
        </is>
      </c>
      <c r="G48" s="3" t="inlineStr">
        <is>
          <t>T-001 OK + source/dest config</t>
        </is>
      </c>
      <c r="H48" s="3" t="inlineStr">
        <is>
          <t>—</t>
        </is>
      </c>
      <c r="I48" s="3" t="inlineStr">
        <is>
          <t>_organize_files() déclenché automatiquement</t>
        </is>
      </c>
      <c r="J48" s="3" t="inlineStr"/>
      <c r="K48" s="3" t="inlineStr">
        <is>
          <t>À faire</t>
        </is>
      </c>
      <c r="L48" s="3" t="inlineStr">
        <is>
          <t>Majeur</t>
        </is>
      </c>
      <c r="M48" s="3" t="inlineStr"/>
      <c r="N48" s="3" t="inlineStr"/>
      <c r="O48" s="3" t="inlineStr"/>
    </row>
    <row r="49">
      <c r="A49" s="3" t="inlineStr">
        <is>
          <t>T-048</t>
        </is>
      </c>
      <c r="B49" s="3" t="inlineStr">
        <is>
          <t>Paramètres</t>
        </is>
      </c>
      <c r="C49" s="3" t="inlineStr">
        <is>
          <t>REQ-PRM-18</t>
        </is>
      </c>
      <c r="D49" s="3" t="inlineStr">
        <is>
          <t>Schedule idempotence</t>
        </is>
      </c>
      <c r="E49" s="3" t="inlineStr">
        <is>
          <t>Activer schedule, attendre 2 mn même HH:MM</t>
        </is>
      </c>
      <c r="F49" s="3" t="inlineStr">
        <is>
          <t>Manuel</t>
        </is>
      </c>
      <c r="G49" s="3" t="inlineStr">
        <is>
          <t>T-047 OK</t>
        </is>
      </c>
      <c r="H49" s="3" t="inlineStr">
        <is>
          <t>—</t>
        </is>
      </c>
      <c r="I49" s="3" t="inlineStr">
        <is>
          <t>Un seul trigger (last_run_date check)</t>
        </is>
      </c>
      <c r="J49" s="3" t="inlineStr"/>
      <c r="K49" s="3" t="inlineStr">
        <is>
          <t>À faire</t>
        </is>
      </c>
      <c r="L49" s="3" t="inlineStr">
        <is>
          <t>Majeur</t>
        </is>
      </c>
      <c r="M49" s="3" t="inlineStr"/>
      <c r="N49" s="3" t="inlineStr"/>
      <c r="O49" s="3" t="inlineStr"/>
    </row>
    <row r="50">
      <c r="A50" s="3" t="inlineStr">
        <is>
          <t>T-049</t>
        </is>
      </c>
      <c r="B50" s="3" t="inlineStr">
        <is>
          <t>Paramètres</t>
        </is>
      </c>
      <c r="C50" s="3" t="inlineStr">
        <is>
          <t>REQ-PRM-19</t>
        </is>
      </c>
      <c r="D50" s="3" t="inlineStr">
        <is>
          <t>Recursive défaut switch</t>
        </is>
      </c>
      <c r="E50" s="3" t="inlineStr">
        <is>
          <t>Décocher recursive défaut + Sauvegarder + relancer</t>
        </is>
      </c>
      <c r="F50" s="3" t="inlineStr">
        <is>
          <t>Manuel</t>
        </is>
      </c>
      <c r="G50" s="3" t="inlineStr">
        <is>
          <t>T-001 OK</t>
        </is>
      </c>
      <c r="H50" s="3" t="inlineStr">
        <is>
          <t>—</t>
        </is>
      </c>
      <c r="I50" s="3" t="inlineStr">
        <is>
          <t>Case 'Parcourir sous-dossiers' décochée par défaut</t>
        </is>
      </c>
      <c r="J50" s="3" t="inlineStr"/>
      <c r="K50" s="3" t="inlineStr">
        <is>
          <t>À faire</t>
        </is>
      </c>
      <c r="L50" s="3" t="inlineStr">
        <is>
          <t>Mineur</t>
        </is>
      </c>
      <c r="M50" s="3" t="inlineStr"/>
      <c r="N50" s="3" t="inlineStr"/>
      <c r="O50" s="3" t="inlineStr"/>
    </row>
    <row r="51">
      <c r="A51" s="3" t="inlineStr">
        <is>
          <t>T-050</t>
        </is>
      </c>
      <c r="B51" s="3" t="inlineStr">
        <is>
          <t>Paramètres</t>
        </is>
      </c>
      <c r="C51" s="3" t="inlineStr">
        <is>
          <t>REQ-PRM-20</t>
        </is>
      </c>
      <c r="D51" s="3" t="inlineStr">
        <is>
          <t>Récupération après configuration corrompue</t>
        </is>
      </c>
      <c r="E51" s="3" t="inlineStr">
        <is>
          <t>Modifier manuellement config.json (clé invalide)</t>
        </is>
      </c>
      <c r="F51" s="3" t="inlineStr">
        <is>
          <t>Manuel</t>
        </is>
      </c>
      <c r="G51" s="3" t="inlineStr">
        <is>
          <t>T-001 OK</t>
        </is>
      </c>
      <c r="H51" s="3" t="inlineStr">
        <is>
          <t>Configuration corrompue</t>
        </is>
      </c>
      <c r="I51" s="3" t="inlineStr">
        <is>
          <t>L'application démarre avec les valeurs par défaut + avertissement dans le journal</t>
        </is>
      </c>
      <c r="J51" s="3" t="inlineStr"/>
      <c r="K51" s="3" t="inlineStr">
        <is>
          <t>À faire</t>
        </is>
      </c>
      <c r="L51" s="3" t="inlineStr">
        <is>
          <t>Majeur</t>
        </is>
      </c>
      <c r="M51" s="3" t="inlineStr"/>
      <c r="N51" s="3" t="inlineStr"/>
      <c r="O51" s="3" t="inlineStr"/>
    </row>
    <row r="52">
      <c r="A52" s="4" t="inlineStr">
        <is>
          <t>T-051</t>
        </is>
      </c>
      <c r="B52" s="4" t="inlineStr">
        <is>
          <t>Entrées</t>
        </is>
      </c>
      <c r="C52" s="4" t="inlineStr">
        <is>
          <t>REQ-ENT-01</t>
        </is>
      </c>
      <c r="D52" s="4" t="inlineStr">
        <is>
          <t>Cas nominal — 50 photos</t>
        </is>
      </c>
      <c r="E52" s="4" t="inlineStr">
        <is>
          <t>Lancer l'organisation sur le dossier nominal</t>
        </is>
      </c>
      <c r="F52" s="4" t="inlineStr">
        <is>
          <t>Auto</t>
        </is>
      </c>
      <c r="G52" s="4" t="inlineStr">
        <is>
          <t>T-001 OK</t>
        </is>
      </c>
      <c r="H52" s="4" t="inlineStr">
        <is>
          <t>input_nominal/ (50 .jpg)</t>
        </is>
      </c>
      <c r="I52" s="4" t="inlineStr">
        <is>
          <t>Tous traités : 50/50 fichiers traités, 0 erreur</t>
        </is>
      </c>
      <c r="J52" s="4" t="inlineStr">
        <is>
          <t>run_tests.py : 0 erreur ; références conformes</t>
        </is>
      </c>
      <c r="K52" s="4" t="inlineStr">
        <is>
          <t>OK</t>
        </is>
      </c>
      <c r="L52" s="4" t="inlineStr">
        <is>
          <t>Bloquant</t>
        </is>
      </c>
      <c r="M52" s="4" t="inlineStr">
        <is>
          <t>Claude (campagne auto)</t>
        </is>
      </c>
      <c r="N52" s="4" t="inlineStr">
        <is>
          <t>2026-06-12</t>
        </is>
      </c>
      <c r="O52" s="4" t="inlineStr"/>
    </row>
    <row r="53">
      <c r="A53" s="4" t="inlineStr">
        <is>
          <t>T-052</t>
        </is>
      </c>
      <c r="B53" s="4" t="inlineStr">
        <is>
          <t>Entrées</t>
        </is>
      </c>
      <c r="C53" s="4" t="inlineStr">
        <is>
          <t>REQ-ENT-02</t>
        </is>
      </c>
      <c r="D53" s="4" t="inlineStr">
        <is>
          <t>input_vide</t>
        </is>
      </c>
      <c r="E53" s="4" t="inlineStr">
        <is>
          <t>Lancer organisation sur dossier vide</t>
        </is>
      </c>
      <c r="F53" s="4" t="inlineStr">
        <is>
          <t>Auto</t>
        </is>
      </c>
      <c r="G53" s="4" t="inlineStr">
        <is>
          <t>T-001 OK</t>
        </is>
      </c>
      <c r="H53" s="4" t="inlineStr">
        <is>
          <t>input_vide/ (0 fichier)</t>
        </is>
      </c>
      <c r="I53" s="4" t="inlineStr">
        <is>
          <t>Message 'Aucun fichier trouvé', 0 op</t>
        </is>
      </c>
      <c r="J53" s="4" t="inlineStr">
        <is>
          <t>run_tests.py : 0 erreur ; références conformes</t>
        </is>
      </c>
      <c r="K53" s="4" t="inlineStr">
        <is>
          <t>OK</t>
        </is>
      </c>
      <c r="L53" s="4" t="inlineStr">
        <is>
          <t>Majeur</t>
        </is>
      </c>
      <c r="M53" s="4" t="inlineStr">
        <is>
          <t>Claude (campagne auto)</t>
        </is>
      </c>
      <c r="N53" s="4" t="inlineStr">
        <is>
          <t>2026-06-12</t>
        </is>
      </c>
      <c r="O53" s="4" t="inlineStr"/>
    </row>
    <row r="54">
      <c r="A54" s="4" t="inlineStr">
        <is>
          <t>T-053</t>
        </is>
      </c>
      <c r="B54" s="4" t="inlineStr">
        <is>
          <t>Entrées</t>
        </is>
      </c>
      <c r="C54" s="4" t="inlineStr">
        <is>
          <t>REQ-ENT-03</t>
        </is>
      </c>
      <c r="D54" s="4" t="inlineStr">
        <is>
          <t>input_volumineux 1000 photos</t>
        </is>
      </c>
      <c r="E54" s="4" t="inlineStr">
        <is>
          <t>Lancer organisation sur 1000 photos</t>
        </is>
      </c>
      <c r="F54" s="4" t="inlineStr">
        <is>
          <t>Auto</t>
        </is>
      </c>
      <c r="G54" s="4" t="inlineStr">
        <is>
          <t>T-001 OK</t>
        </is>
      </c>
      <c r="H54" s="4" t="inlineStr">
        <is>
          <t>input_volumineux/ (1000 .jpg)</t>
        </is>
      </c>
      <c r="I54" s="4" t="inlineStr">
        <is>
          <t>Pas de freeze IHM, progress 0→100%, &lt; 60 s</t>
        </is>
      </c>
      <c r="J54" s="4" t="inlineStr">
        <is>
          <t>run_tests.py : 0 erreur ; références conformes</t>
        </is>
      </c>
      <c r="K54" s="4" t="inlineStr">
        <is>
          <t>OK</t>
        </is>
      </c>
      <c r="L54" s="4" t="inlineStr">
        <is>
          <t>Majeur</t>
        </is>
      </c>
      <c r="M54" s="4" t="inlineStr">
        <is>
          <t>Claude (campagne auto)</t>
        </is>
      </c>
      <c r="N54" s="4" t="inlineStr">
        <is>
          <t>2026-06-12</t>
        </is>
      </c>
      <c r="O54" s="4" t="inlineStr"/>
    </row>
    <row r="55">
      <c r="A55" s="4" t="inlineStr">
        <is>
          <t>T-054</t>
        </is>
      </c>
      <c r="B55" s="4" t="inlineStr">
        <is>
          <t>Entrées</t>
        </is>
      </c>
      <c r="C55" s="4" t="inlineStr">
        <is>
          <t>REQ-ENT-04</t>
        </is>
      </c>
      <c r="D55" s="4" t="inlineStr">
        <is>
          <t>input_mauvais_format</t>
        </is>
      </c>
      <c r="E55" s="4" t="inlineStr">
        <is>
          <t>Source contient .txt, .pdf, .docx</t>
        </is>
      </c>
      <c r="F55" s="4" t="inlineStr">
        <is>
          <t>Manuel</t>
        </is>
      </c>
      <c r="G55" s="4" t="inlineStr">
        <is>
          <t>T-001 OK</t>
        </is>
      </c>
      <c r="H55" s="4" t="inlineStr">
        <is>
          <t>input_mauvais_format/</t>
        </is>
      </c>
      <c r="I55" s="4" t="inlineStr">
        <is>
          <t>Filtrés par extensions, 0 photo traitée</t>
        </is>
      </c>
      <c r="J55" s="4" t="inlineStr"/>
      <c r="K55" s="4" t="inlineStr">
        <is>
          <t>À faire</t>
        </is>
      </c>
      <c r="L55" s="4" t="inlineStr">
        <is>
          <t>Mineur</t>
        </is>
      </c>
      <c r="M55" s="4" t="inlineStr"/>
      <c r="N55" s="4" t="inlineStr"/>
      <c r="O55" s="4" t="inlineStr"/>
    </row>
    <row r="56">
      <c r="A56" s="4" t="inlineStr">
        <is>
          <t>T-055</t>
        </is>
      </c>
      <c r="B56" s="4" t="inlineStr">
        <is>
          <t>Entrées</t>
        </is>
      </c>
      <c r="C56" s="4" t="inlineStr">
        <is>
          <t>REQ-ENT-05</t>
        </is>
      </c>
      <c r="D56" s="4" t="inlineStr">
        <is>
          <t>input_caracteres_speciaux</t>
        </is>
      </c>
      <c r="E56" s="4" t="inlineStr">
        <is>
          <t>Noms avec accents, emojis, μ, Ω, ±</t>
        </is>
      </c>
      <c r="F56" s="4" t="inlineStr">
        <is>
          <t>Auto</t>
        </is>
      </c>
      <c r="G56" s="4" t="inlineStr">
        <is>
          <t>T-001 OK</t>
        </is>
      </c>
      <c r="H56" s="4" t="inlineStr">
        <is>
          <t>input_caracteres_speciaux/</t>
        </is>
      </c>
      <c r="I56" s="4" t="inlineStr">
        <is>
          <t>Sanitization OK, pas de crash, noms valides</t>
        </is>
      </c>
      <c r="J56" s="4" t="inlineStr">
        <is>
          <t>run_tests.py : 0 erreur ; références conformes</t>
        </is>
      </c>
      <c r="K56" s="4" t="inlineStr">
        <is>
          <t>OK</t>
        </is>
      </c>
      <c r="L56" s="4" t="inlineStr">
        <is>
          <t>Majeur</t>
        </is>
      </c>
      <c r="M56" s="4" t="inlineStr">
        <is>
          <t>Claude (campagne auto)</t>
        </is>
      </c>
      <c r="N56" s="4" t="inlineStr">
        <is>
          <t>2026-06-12</t>
        </is>
      </c>
      <c r="O56" s="4" t="inlineStr"/>
    </row>
    <row r="57">
      <c r="A57" s="4" t="inlineStr">
        <is>
          <t>T-056</t>
        </is>
      </c>
      <c r="B57" s="4" t="inlineStr">
        <is>
          <t>Entrées</t>
        </is>
      </c>
      <c r="C57" s="4" t="inlineStr">
        <is>
          <t>REQ-ENT-06</t>
        </is>
      </c>
      <c r="D57" s="4" t="inlineStr">
        <is>
          <t>Fichier JPG corrompu (tronqué)</t>
        </is>
      </c>
      <c r="E57" s="4" t="inlineStr">
        <is>
          <t>Photo JPG dont les 50 % derniers octets manquent</t>
        </is>
      </c>
      <c r="F57" s="4" t="inlineStr">
        <is>
          <t>Auto</t>
        </is>
      </c>
      <c r="G57" s="4" t="inlineStr">
        <is>
          <t>T-001 OK</t>
        </is>
      </c>
      <c r="H57" s="4" t="inlineStr">
        <is>
          <t>input_corrompu/</t>
        </is>
      </c>
      <c r="I57" s="4" t="inlineStr">
        <is>
          <t>Ignoré avec avertissement dans le journal, 1 erreur, autres fichiers traités</t>
        </is>
      </c>
      <c r="J57" s="4" t="inlineStr">
        <is>
          <t>run_tests.py : 0 erreur ; références conformes</t>
        </is>
      </c>
      <c r="K57" s="4" t="inlineStr">
        <is>
          <t>OK</t>
        </is>
      </c>
      <c r="L57" s="4" t="inlineStr">
        <is>
          <t>Majeur</t>
        </is>
      </c>
      <c r="M57" s="4" t="inlineStr">
        <is>
          <t>Claude (campagne auto)</t>
        </is>
      </c>
      <c r="N57" s="4" t="inlineStr">
        <is>
          <t>2026-06-12</t>
        </is>
      </c>
      <c r="O57" s="4" t="inlineStr"/>
    </row>
    <row r="58">
      <c r="A58" s="4" t="inlineStr">
        <is>
          <t>T-057</t>
        </is>
      </c>
      <c r="B58" s="4" t="inlineStr">
        <is>
          <t>Entrées</t>
        </is>
      </c>
      <c r="C58" s="4" t="inlineStr">
        <is>
          <t>REQ-ENT-07</t>
        </is>
      </c>
      <c r="D58" s="4" t="inlineStr">
        <is>
          <t>input_gps_piexif rationnels</t>
        </is>
      </c>
      <c r="E58" s="4" t="inlineStr">
        <is>
          <t>Photos avec EXIF GPS encodé piexif ((48,1)(51,1)(24,1))</t>
        </is>
      </c>
      <c r="F58" s="4" t="inlineStr">
        <is>
          <t>Auto</t>
        </is>
      </c>
      <c r="G58" s="4" t="inlineStr">
        <is>
          <t>T-001 OK + GPS coché</t>
        </is>
      </c>
      <c r="H58" s="4" t="inlineStr">
        <is>
          <t>input_gps_piexif/</t>
        </is>
      </c>
      <c r="I58" s="4" t="inlineStr">
        <is>
          <t>Coordonnées correctement extraites, organisées par lieu</t>
        </is>
      </c>
      <c r="J58" s="4" t="inlineStr">
        <is>
          <t>run_tests.py : 0 erreur ; références conformes</t>
        </is>
      </c>
      <c r="K58" s="4" t="inlineStr">
        <is>
          <t>OK</t>
        </is>
      </c>
      <c r="L58" s="4" t="inlineStr">
        <is>
          <t>Majeur</t>
        </is>
      </c>
      <c r="M58" s="4" t="inlineStr">
        <is>
          <t>Claude (campagne auto)</t>
        </is>
      </c>
      <c r="N58" s="4" t="inlineStr">
        <is>
          <t>2026-06-12</t>
        </is>
      </c>
      <c r="O58" s="4" t="inlineStr"/>
    </row>
    <row r="59">
      <c r="A59" s="4" t="inlineStr">
        <is>
          <t>T-058</t>
        </is>
      </c>
      <c r="B59" s="4" t="inlineStr">
        <is>
          <t>Entrées</t>
        </is>
      </c>
      <c r="C59" s="4" t="inlineStr">
        <is>
          <t>REQ-ENT-08</t>
        </is>
      </c>
      <c r="D59" s="4" t="inlineStr">
        <is>
          <t>input_pairs RAW+JPEG</t>
        </is>
      </c>
      <c r="E59" s="4" t="inlineStr">
        <is>
          <t>10 paires .CR2 + .JPG même stem</t>
        </is>
      </c>
      <c r="F59" s="4" t="inlineStr">
        <is>
          <t>Auto</t>
        </is>
      </c>
      <c r="G59" s="4" t="inlineStr">
        <is>
          <t>T-001 OK + keep_pairs ON</t>
        </is>
      </c>
      <c r="H59" s="4" t="inlineStr">
        <is>
          <t>input_pairs/</t>
        </is>
      </c>
      <c r="I59" s="4" t="inlineStr">
        <is>
          <t>Pairs co-localisées dans même dossier dest</t>
        </is>
      </c>
      <c r="J59" s="4" t="inlineStr">
        <is>
          <t>run_tests.py : 0 erreur ; références conformes</t>
        </is>
      </c>
      <c r="K59" s="4" t="inlineStr">
        <is>
          <t>OK</t>
        </is>
      </c>
      <c r="L59" s="4" t="inlineStr">
        <is>
          <t>Mineur</t>
        </is>
      </c>
      <c r="M59" s="4" t="inlineStr">
        <is>
          <t>Claude (campagne auto)</t>
        </is>
      </c>
      <c r="N59" s="4" t="inlineStr">
        <is>
          <t>2026-06-12</t>
        </is>
      </c>
      <c r="O59" s="4" t="inlineStr"/>
    </row>
    <row r="60">
      <c r="A60" s="4" t="inlineStr">
        <is>
          <t>T-059</t>
        </is>
      </c>
      <c r="B60" s="4" t="inlineStr">
        <is>
          <t>Entrées</t>
        </is>
      </c>
      <c r="C60" s="4" t="inlineStr">
        <is>
          <t>REQ-ENT-09</t>
        </is>
      </c>
      <c r="D60" s="4" t="inlineStr">
        <is>
          <t>input_bursts 5 photos &lt; 3s</t>
        </is>
      </c>
      <c r="E60" s="4" t="inlineStr">
        <is>
          <t>5 photos timestamps espacés de 1s</t>
        </is>
      </c>
      <c r="F60" s="4" t="inlineStr">
        <is>
          <t>Auto</t>
        </is>
      </c>
      <c r="G60" s="4" t="inlineStr">
        <is>
          <t>T-001 OK + detect_bursts ON</t>
        </is>
      </c>
      <c r="H60" s="4" t="inlineStr">
        <is>
          <t>input_bursts/</t>
        </is>
      </c>
      <c r="I60" s="4" t="inlineStr">
        <is>
          <t>Sous-dossier Burst_01/ avec 5 fichiers</t>
        </is>
      </c>
      <c r="J60" s="4" t="inlineStr">
        <is>
          <t>run_tests.py : 0 erreur ; références conformes</t>
        </is>
      </c>
      <c r="K60" s="4" t="inlineStr">
        <is>
          <t>OK</t>
        </is>
      </c>
      <c r="L60" s="4" t="inlineStr">
        <is>
          <t>Mineur</t>
        </is>
      </c>
      <c r="M60" s="4" t="inlineStr">
        <is>
          <t>Claude (campagne auto)</t>
        </is>
      </c>
      <c r="N60" s="4" t="inlineStr">
        <is>
          <t>2026-06-12</t>
        </is>
      </c>
      <c r="O60" s="4" t="inlineStr"/>
    </row>
    <row r="61">
      <c r="A61" s="4" t="inlineStr">
        <is>
          <t>T-060</t>
        </is>
      </c>
      <c r="B61" s="4" t="inlineStr">
        <is>
          <t>Entrées</t>
        </is>
      </c>
      <c r="C61" s="4" t="inlineStr">
        <is>
          <t>REQ-ENT-10</t>
        </is>
      </c>
      <c r="D61" s="4" t="inlineStr">
        <is>
          <t>input_pas_exif</t>
        </is>
      </c>
      <c r="E61" s="4" t="inlineStr">
        <is>
          <t>3 photos sans aucune métadonnée EXIF</t>
        </is>
      </c>
      <c r="F61" s="4" t="inlineStr">
        <is>
          <t>Auto</t>
        </is>
      </c>
      <c r="G61" s="4" t="inlineStr">
        <is>
          <t>T-001 OK + date critère</t>
        </is>
      </c>
      <c r="H61" s="4" t="inlineStr">
        <is>
          <t>input_pas_exif/</t>
        </is>
      </c>
      <c r="I61" s="4" t="inlineStr">
        <is>
          <t>Tous classés dans dossier 'Sans date'</t>
        </is>
      </c>
      <c r="J61" s="4" t="inlineStr">
        <is>
          <t>run_tests.py : 0 erreur ; références conformes</t>
        </is>
      </c>
      <c r="K61" s="4" t="inlineStr">
        <is>
          <t>OK</t>
        </is>
      </c>
      <c r="L61" s="4" t="inlineStr">
        <is>
          <t>Majeur</t>
        </is>
      </c>
      <c r="M61" s="4" t="inlineStr">
        <is>
          <t>Claude (campagne auto)</t>
        </is>
      </c>
      <c r="N61" s="4" t="inlineStr">
        <is>
          <t>2026-06-12</t>
        </is>
      </c>
      <c r="O61" s="4" t="inlineStr"/>
    </row>
    <row r="62">
      <c r="A62" s="4" t="inlineStr">
        <is>
          <t>T-061</t>
        </is>
      </c>
      <c r="B62" s="4" t="inlineStr">
        <is>
          <t>Entrées</t>
        </is>
      </c>
      <c r="C62" s="4" t="inlineStr">
        <is>
          <t>REQ-ENT-11</t>
        </is>
      </c>
      <c r="D62" s="4" t="inlineStr">
        <is>
          <t>input_doublons 10 paires</t>
        </is>
      </c>
      <c r="E62" s="4" t="inlineStr">
        <is>
          <t>20 photos dont 10 doublons exacts</t>
        </is>
      </c>
      <c r="F62" s="4" t="inlineStr">
        <is>
          <t>Manuel</t>
        </is>
      </c>
      <c r="G62" s="4" t="inlineStr">
        <is>
          <t>T-001 OK</t>
        </is>
      </c>
      <c r="H62" s="4" t="inlineStr">
        <is>
          <t>input_doublons/</t>
        </is>
      </c>
      <c r="I62" s="4" t="inlineStr">
        <is>
          <t>DRY_RUN détecte 10 groupes de 2</t>
        </is>
      </c>
      <c r="J62" s="4" t="inlineStr"/>
      <c r="K62" s="4" t="inlineStr">
        <is>
          <t>À faire</t>
        </is>
      </c>
      <c r="L62" s="4" t="inlineStr">
        <is>
          <t>Bloquant</t>
        </is>
      </c>
      <c r="M62" s="4" t="inlineStr"/>
      <c r="N62" s="4" t="inlineStr"/>
      <c r="O62" s="4" t="inlineStr"/>
    </row>
    <row r="63">
      <c r="A63" s="4" t="inlineStr">
        <is>
          <t>T-062</t>
        </is>
      </c>
      <c r="B63" s="4" t="inlineStr">
        <is>
          <t>Entrées</t>
        </is>
      </c>
      <c r="C63" s="4" t="inlineStr">
        <is>
          <t>REQ-ENT-12</t>
        </is>
      </c>
      <c r="D63" s="4" t="inlineStr">
        <is>
          <t>input HEIC iPhone</t>
        </is>
      </c>
      <c r="E63" s="4" t="inlineStr">
        <is>
          <t>Photo HEIC avec EXIF</t>
        </is>
      </c>
      <c r="F63" s="4" t="inlineStr">
        <is>
          <t>Manuel</t>
        </is>
      </c>
      <c r="G63" s="4" t="inlineStr">
        <is>
          <t>pillow_heif installé</t>
        </is>
      </c>
      <c r="H63" s="4" t="inlineStr">
        <is>
          <t>input_heic/</t>
        </is>
      </c>
      <c r="I63" s="4" t="inlineStr">
        <is>
          <t>Lue, organisée, métadonnées extraites</t>
        </is>
      </c>
      <c r="J63" s="4" t="inlineStr"/>
      <c r="K63" s="4" t="inlineStr">
        <is>
          <t>À faire</t>
        </is>
      </c>
      <c r="L63" s="4" t="inlineStr">
        <is>
          <t>Majeur</t>
        </is>
      </c>
      <c r="M63" s="4" t="inlineStr"/>
      <c r="N63" s="4" t="inlineStr"/>
      <c r="O63" s="4" t="inlineStr"/>
    </row>
    <row r="64">
      <c r="A64" s="4" t="inlineStr">
        <is>
          <t>T-063</t>
        </is>
      </c>
      <c r="B64" s="4" t="inlineStr">
        <is>
          <t>Entrées</t>
        </is>
      </c>
      <c r="C64" s="4" t="inlineStr">
        <is>
          <t>REQ-ENT-13</t>
        </is>
      </c>
      <c r="D64" s="4" t="inlineStr">
        <is>
          <t>input vidéo MP4 avec date</t>
        </is>
      </c>
      <c r="E64" s="4" t="inlineStr">
        <is>
          <t>1 vidéo MP4 avec CreationTime EXIF</t>
        </is>
      </c>
      <c r="F64" s="4" t="inlineStr">
        <is>
          <t>Manuel</t>
        </is>
      </c>
      <c r="G64" s="4" t="inlineStr">
        <is>
          <t>include_videos ON</t>
        </is>
      </c>
      <c r="H64" s="4" t="inlineStr">
        <is>
          <t>input_video/</t>
        </is>
      </c>
      <c r="I64" s="4" t="inlineStr">
        <is>
          <t>Organisée par date comme une photo</t>
        </is>
      </c>
      <c r="J64" s="4" t="inlineStr"/>
      <c r="K64" s="4" t="inlineStr">
        <is>
          <t>À faire</t>
        </is>
      </c>
      <c r="L64" s="4" t="inlineStr">
        <is>
          <t>Mineur</t>
        </is>
      </c>
      <c r="M64" s="4" t="inlineStr"/>
      <c r="N64" s="4" t="inlineStr"/>
      <c r="O64" s="4" t="inlineStr"/>
    </row>
    <row r="65">
      <c r="A65" s="4" t="inlineStr">
        <is>
          <t>T-064</t>
        </is>
      </c>
      <c r="B65" s="4" t="inlineStr">
        <is>
          <t>Entrées</t>
        </is>
      </c>
      <c r="C65" s="4" t="inlineStr">
        <is>
          <t>REQ-ENT-14</t>
        </is>
      </c>
      <c r="D65" s="4" t="inlineStr">
        <is>
          <t>input_limite_haute 100 Mo</t>
        </is>
      </c>
      <c r="E65" s="4" t="inlineStr">
        <is>
          <t>1 fichier RAW de 100 Mo</t>
        </is>
      </c>
      <c r="F65" s="4" t="inlineStr">
        <is>
          <t>Manuel</t>
        </is>
      </c>
      <c r="G65" s="4" t="inlineStr">
        <is>
          <t>T-001 OK</t>
        </is>
      </c>
      <c r="H65" s="4" t="inlineStr">
        <is>
          <t>input_limite_haute/</t>
        </is>
      </c>
      <c r="I65" s="4" t="inlineStr">
        <is>
          <t>Traité sans timeout, log temps de copie</t>
        </is>
      </c>
      <c r="J65" s="4" t="inlineStr"/>
      <c r="K65" s="4" t="inlineStr">
        <is>
          <t>À faire</t>
        </is>
      </c>
      <c r="L65" s="4" t="inlineStr">
        <is>
          <t>Mineur</t>
        </is>
      </c>
      <c r="M65" s="4" t="inlineStr"/>
      <c r="N65" s="4" t="inlineStr"/>
      <c r="O65" s="4" t="inlineStr"/>
    </row>
    <row r="66">
      <c r="A66" s="4" t="inlineStr">
        <is>
          <t>T-065</t>
        </is>
      </c>
      <c r="B66" s="4" t="inlineStr">
        <is>
          <t>Entrées</t>
        </is>
      </c>
      <c r="C66" s="4" t="inlineStr">
        <is>
          <t>REQ-ENT-15</t>
        </is>
      </c>
      <c r="D66" s="4" t="inlineStr">
        <is>
          <t>input_limite_basse 1 Ko</t>
        </is>
      </c>
      <c r="E66" s="4" t="inlineStr">
        <is>
          <t>1 photo de &lt; 1 Ko (vignette)</t>
        </is>
      </c>
      <c r="F66" s="4" t="inlineStr">
        <is>
          <t>Manuel</t>
        </is>
      </c>
      <c r="G66" s="4" t="inlineStr">
        <is>
          <t>filter_size_min OFF</t>
        </is>
      </c>
      <c r="H66" s="4" t="inlineStr">
        <is>
          <t>input_limite_basse/</t>
        </is>
      </c>
      <c r="I66" s="4" t="inlineStr">
        <is>
          <t>Traitée comme une photo normale</t>
        </is>
      </c>
      <c r="J66" s="4" t="inlineStr"/>
      <c r="K66" s="4" t="inlineStr">
        <is>
          <t>À faire</t>
        </is>
      </c>
      <c r="L66" s="4" t="inlineStr">
        <is>
          <t>Cosmétique</t>
        </is>
      </c>
      <c r="M66" s="4" t="inlineStr"/>
      <c r="N66" s="4" t="inlineStr"/>
      <c r="O66" s="4" t="inlineStr"/>
    </row>
    <row r="67">
      <c r="A67" s="5" t="inlineStr">
        <is>
          <t>T-066</t>
        </is>
      </c>
      <c r="B67" s="5" t="inlineStr">
        <is>
          <t>Sorties</t>
        </is>
      </c>
      <c r="C67" s="5" t="inlineStr">
        <is>
          <t>REQ-SOR-01</t>
        </is>
      </c>
      <c r="D67" s="5" t="inlineStr">
        <is>
          <t>Arbo year/month/day</t>
        </is>
      </c>
      <c r="E67" s="5" t="inlineStr">
        <is>
          <t>Format date par défaut sur nominal</t>
        </is>
      </c>
      <c r="F67" s="5" t="inlineStr">
        <is>
          <t>Auto</t>
        </is>
      </c>
      <c r="G67" s="5" t="inlineStr">
        <is>
          <t>T-001 OK</t>
        </is>
      </c>
      <c r="H67" s="5" t="inlineStr">
        <is>
          <t>input_nominal/</t>
        </is>
      </c>
      <c r="I67" s="5" t="inlineStr">
        <is>
          <t>Structure dest/YYYY/MM/YYYY_MM_DD/*.jpg</t>
        </is>
      </c>
      <c r="J67" s="5" t="inlineStr">
        <is>
          <t>run_tests.py : 0 erreur ; références conformes</t>
        </is>
      </c>
      <c r="K67" s="5" t="inlineStr">
        <is>
          <t>OK</t>
        </is>
      </c>
      <c r="L67" s="5" t="inlineStr">
        <is>
          <t>Bloquant</t>
        </is>
      </c>
      <c r="M67" s="5" t="inlineStr">
        <is>
          <t>Claude (campagne auto)</t>
        </is>
      </c>
      <c r="N67" s="5" t="inlineStr">
        <is>
          <t>2026-06-12</t>
        </is>
      </c>
      <c r="O67" s="5" t="inlineStr"/>
    </row>
    <row r="68">
      <c r="A68" s="5" t="inlineStr">
        <is>
          <t>T-067</t>
        </is>
      </c>
      <c r="B68" s="5" t="inlineStr">
        <is>
          <t>Sorties</t>
        </is>
      </c>
      <c r="C68" s="5" t="inlineStr">
        <is>
          <t>REQ-SOR-02</t>
        </is>
      </c>
      <c r="D68" s="5" t="inlineStr">
        <is>
          <t>Arbo year/month</t>
        </is>
      </c>
      <c r="E68" s="5" t="inlineStr">
        <is>
          <t>Format year/month</t>
        </is>
      </c>
      <c r="F68" s="5" t="inlineStr">
        <is>
          <t>Manuel</t>
        </is>
      </c>
      <c r="G68" s="5" t="inlineStr">
        <is>
          <t>T-066 OK</t>
        </is>
      </c>
      <c r="H68" s="5" t="inlineStr">
        <is>
          <t>input_nominal/</t>
        </is>
      </c>
      <c r="I68" s="5" t="inlineStr">
        <is>
          <t>Structure dest/YYYY/YYYY_MM/*.jpg</t>
        </is>
      </c>
      <c r="J68" s="5" t="inlineStr"/>
      <c r="K68" s="5" t="inlineStr">
        <is>
          <t>À faire</t>
        </is>
      </c>
      <c r="L68" s="5" t="inlineStr">
        <is>
          <t>Mineur</t>
        </is>
      </c>
      <c r="M68" s="5" t="inlineStr"/>
      <c r="N68" s="5" t="inlineStr"/>
      <c r="O68" s="5" t="inlineStr"/>
    </row>
    <row r="69">
      <c r="A69" s="5" t="inlineStr">
        <is>
          <t>T-068</t>
        </is>
      </c>
      <c r="B69" s="5" t="inlineStr">
        <is>
          <t>Sorties</t>
        </is>
      </c>
      <c r="C69" s="5" t="inlineStr">
        <is>
          <t>REQ-SOR-03</t>
        </is>
      </c>
      <c r="D69" s="5" t="inlineStr">
        <is>
          <t>Arbo multilayer date+camera</t>
        </is>
      </c>
      <c r="E69" s="5" t="inlineStr">
        <is>
          <t>Date+Camera multilayer</t>
        </is>
      </c>
      <c r="F69" s="5" t="inlineStr">
        <is>
          <t>Auto</t>
        </is>
      </c>
      <c r="G69" s="5" t="inlineStr">
        <is>
          <t>T-014 OK</t>
        </is>
      </c>
      <c r="H69" s="5" t="inlineStr">
        <is>
          <t>input_nominal/</t>
        </is>
      </c>
      <c r="I69" s="5" t="inlineStr">
        <is>
          <t>dest/YYYY/MM/.../CameraModel/*.jpg</t>
        </is>
      </c>
      <c r="J69" s="5" t="inlineStr">
        <is>
          <t>run_tests.py : 0 erreur ; références conformes</t>
        </is>
      </c>
      <c r="K69" s="5" t="inlineStr">
        <is>
          <t>OK</t>
        </is>
      </c>
      <c r="L69" s="5" t="inlineStr">
        <is>
          <t>Majeur</t>
        </is>
      </c>
      <c r="M69" s="5" t="inlineStr">
        <is>
          <t>Claude (campagne auto)</t>
        </is>
      </c>
      <c r="N69" s="5" t="inlineStr">
        <is>
          <t>2026-06-12</t>
        </is>
      </c>
      <c r="O69" s="5" t="inlineStr"/>
    </row>
    <row r="70">
      <c r="A70" s="5" t="inlineStr">
        <is>
          <t>T-069</t>
        </is>
      </c>
      <c r="B70" s="5" t="inlineStr">
        <is>
          <t>Sorties</t>
        </is>
      </c>
      <c r="C70" s="5" t="inlineStr">
        <is>
          <t>REQ-SOR-04</t>
        </is>
      </c>
      <c r="D70" s="5" t="inlineStr">
        <is>
          <t>Index CSV généré</t>
        </is>
      </c>
      <c r="E70" s="5" t="inlineStr">
        <is>
          <t>Cocher Index CSV</t>
        </is>
      </c>
      <c r="F70" s="5" t="inlineStr">
        <is>
          <t>Auto</t>
        </is>
      </c>
      <c r="G70" s="5" t="inlineStr">
        <is>
          <t>T-001 OK</t>
        </is>
      </c>
      <c r="H70" s="5" t="inlineStr">
        <is>
          <t>input_nominal/</t>
        </is>
      </c>
      <c r="I70" s="5" t="inlineStr">
        <is>
          <t>dest/_photoorganizer_index_*.csv, colonnes valides</t>
        </is>
      </c>
      <c r="J70" s="5" t="inlineStr">
        <is>
          <t>run_tests.py : 0 erreur ; références conformes</t>
        </is>
      </c>
      <c r="K70" s="5" t="inlineStr">
        <is>
          <t>OK</t>
        </is>
      </c>
      <c r="L70" s="5" t="inlineStr">
        <is>
          <t>Majeur</t>
        </is>
      </c>
      <c r="M70" s="5" t="inlineStr">
        <is>
          <t>Claude (campagne auto)</t>
        </is>
      </c>
      <c r="N70" s="5" t="inlineStr">
        <is>
          <t>2026-06-12</t>
        </is>
      </c>
      <c r="O70" s="5" t="inlineStr"/>
    </row>
    <row r="71">
      <c r="A71" s="5" t="inlineStr">
        <is>
          <t>T-070</t>
        </is>
      </c>
      <c r="B71" s="5" t="inlineStr">
        <is>
          <t>Sorties</t>
        </is>
      </c>
      <c r="C71" s="5" t="inlineStr">
        <is>
          <t>REQ-SOR-05</t>
        </is>
      </c>
      <c r="D71" s="5" t="inlineStr">
        <is>
          <t>Index JSON valide</t>
        </is>
      </c>
      <c r="E71" s="5" t="inlineStr">
        <is>
          <t>Cocher Index JSON</t>
        </is>
      </c>
      <c r="F71" s="5" t="inlineStr">
        <is>
          <t>Auto</t>
        </is>
      </c>
      <c r="G71" s="5" t="inlineStr">
        <is>
          <t>T-001 OK</t>
        </is>
      </c>
      <c r="H71" s="5" t="inlineStr">
        <is>
          <t>input_nominal/</t>
        </is>
      </c>
      <c r="I71" s="5" t="inlineStr">
        <is>
          <t>Fichier JSON valide ; nombre d'enregistrements == nombre de fichiers traités</t>
        </is>
      </c>
      <c r="J71" s="5" t="inlineStr">
        <is>
          <t>run_tests.py : 0 erreur ; références conformes</t>
        </is>
      </c>
      <c r="K71" s="5" t="inlineStr">
        <is>
          <t>OK</t>
        </is>
      </c>
      <c r="L71" s="5" t="inlineStr">
        <is>
          <t>Majeur</t>
        </is>
      </c>
      <c r="M71" s="5" t="inlineStr">
        <is>
          <t>Claude (campagne auto)</t>
        </is>
      </c>
      <c r="N71" s="5" t="inlineStr">
        <is>
          <t>2026-06-12</t>
        </is>
      </c>
      <c r="O71" s="5" t="inlineStr"/>
    </row>
    <row r="72">
      <c r="A72" s="5" t="inlineStr">
        <is>
          <t>T-071</t>
        </is>
      </c>
      <c r="B72" s="5" t="inlineStr">
        <is>
          <t>Sorties</t>
        </is>
      </c>
      <c r="C72" s="5" t="inlineStr">
        <is>
          <t>REQ-SOR-06</t>
        </is>
      </c>
      <c r="D72" s="5" t="inlineStr">
        <is>
          <t>Rapport Doublons TXT</t>
        </is>
      </c>
      <c r="E72" s="5" t="inlineStr">
        <is>
          <t>Mode DRY_RUN + case TXT</t>
        </is>
      </c>
      <c r="F72" s="5" t="inlineStr">
        <is>
          <t>Manuel</t>
        </is>
      </c>
      <c r="G72" s="5" t="inlineStr">
        <is>
          <t>T-001 OK</t>
        </is>
      </c>
      <c r="H72" s="5" t="inlineStr">
        <is>
          <t>input_doublons/</t>
        </is>
      </c>
      <c r="I72" s="5" t="inlineStr">
        <is>
          <t>duplicates_report_*.txt généré et lisible</t>
        </is>
      </c>
      <c r="J72" s="5" t="inlineStr"/>
      <c r="K72" s="5" t="inlineStr">
        <is>
          <t>À faire</t>
        </is>
      </c>
      <c r="L72" s="5" t="inlineStr">
        <is>
          <t>Mineur</t>
        </is>
      </c>
      <c r="M72" s="5" t="inlineStr"/>
      <c r="N72" s="5" t="inlineStr"/>
      <c r="O72" s="5" t="inlineStr"/>
    </row>
    <row r="73">
      <c r="A73" s="5" t="inlineStr">
        <is>
          <t>T-072</t>
        </is>
      </c>
      <c r="B73" s="5" t="inlineStr">
        <is>
          <t>Sorties</t>
        </is>
      </c>
      <c r="C73" s="5" t="inlineStr">
        <is>
          <t>REQ-SOR-07</t>
        </is>
      </c>
      <c r="D73" s="5" t="inlineStr">
        <is>
          <t>Rapport Doublons CSV</t>
        </is>
      </c>
      <c r="E73" s="5" t="inlineStr">
        <is>
          <t>Mode DRY_RUN + case CSV</t>
        </is>
      </c>
      <c r="F73" s="5" t="inlineStr">
        <is>
          <t>Manuel</t>
        </is>
      </c>
      <c r="G73" s="5" t="inlineStr">
        <is>
          <t>T-001 OK</t>
        </is>
      </c>
      <c r="H73" s="5" t="inlineStr">
        <is>
          <t>input_doublons/</t>
        </is>
      </c>
      <c r="I73" s="5" t="inlineStr">
        <is>
          <t>CSV exploitable Excel</t>
        </is>
      </c>
      <c r="J73" s="5" t="inlineStr"/>
      <c r="K73" s="5" t="inlineStr">
        <is>
          <t>À faire</t>
        </is>
      </c>
      <c r="L73" s="5" t="inlineStr">
        <is>
          <t>Mineur</t>
        </is>
      </c>
      <c r="M73" s="5" t="inlineStr"/>
      <c r="N73" s="5" t="inlineStr"/>
      <c r="O73" s="5" t="inlineStr"/>
    </row>
    <row r="74">
      <c r="A74" s="5" t="inlineStr">
        <is>
          <t>T-073</t>
        </is>
      </c>
      <c r="B74" s="5" t="inlineStr">
        <is>
          <t>Sorties</t>
        </is>
      </c>
      <c r="C74" s="5" t="inlineStr">
        <is>
          <t>REQ-SOR-08</t>
        </is>
      </c>
      <c r="D74" s="5" t="inlineStr">
        <is>
          <t>Rapport Doublons JSON</t>
        </is>
      </c>
      <c r="E74" s="5" t="inlineStr">
        <is>
          <t>Mode DRY_RUN + case JSON</t>
        </is>
      </c>
      <c r="F74" s="5" t="inlineStr">
        <is>
          <t>Manuel</t>
        </is>
      </c>
      <c r="G74" s="5" t="inlineStr">
        <is>
          <t>T-001 OK</t>
        </is>
      </c>
      <c r="H74" s="5" t="inlineStr">
        <is>
          <t>input_doublons/</t>
        </is>
      </c>
      <c r="I74" s="5" t="inlineStr">
        <is>
          <t>JSON structuré (groups, decisions, …)</t>
        </is>
      </c>
      <c r="J74" s="5" t="inlineStr"/>
      <c r="K74" s="5" t="inlineStr">
        <is>
          <t>À faire</t>
        </is>
      </c>
      <c r="L74" s="5" t="inlineStr">
        <is>
          <t>Mineur</t>
        </is>
      </c>
      <c r="M74" s="5" t="inlineStr"/>
      <c r="N74" s="5" t="inlineStr"/>
      <c r="O74" s="5" t="inlineStr"/>
    </row>
    <row r="75">
      <c r="A75" s="5" t="inlineStr">
        <is>
          <t>T-074</t>
        </is>
      </c>
      <c r="B75" s="5" t="inlineStr">
        <is>
          <t>Sorties</t>
        </is>
      </c>
      <c r="C75" s="5" t="inlineStr">
        <is>
          <t>REQ-SOR-09</t>
        </is>
      </c>
      <c r="D75" s="5" t="inlineStr">
        <is>
          <t>Renommage template {date}_{counter}</t>
        </is>
      </c>
      <c r="E75" s="5" t="inlineStr">
        <is>
          <t>Template '{date:%Y%m%d}_{counter:04d}'</t>
        </is>
      </c>
      <c r="F75" s="5" t="inlineStr">
        <is>
          <t>Auto</t>
        </is>
      </c>
      <c r="G75" s="5" t="inlineStr">
        <is>
          <t>T-001 OK</t>
        </is>
      </c>
      <c r="H75" s="5" t="inlineStr">
        <is>
          <t>input_nominal/</t>
        </is>
      </c>
      <c r="I75" s="5" t="inlineStr">
        <is>
          <t>Fichiers : 20260507_0001.jpg, 20260507_0002.jpg, …</t>
        </is>
      </c>
      <c r="J75" s="5" t="inlineStr">
        <is>
          <t>run_tests.py : 0 erreur ; références conformes</t>
        </is>
      </c>
      <c r="K75" s="5" t="inlineStr">
        <is>
          <t>OK</t>
        </is>
      </c>
      <c r="L75" s="5" t="inlineStr">
        <is>
          <t>Majeur</t>
        </is>
      </c>
      <c r="M75" s="5" t="inlineStr">
        <is>
          <t>Claude (campagne auto)</t>
        </is>
      </c>
      <c r="N75" s="5" t="inlineStr">
        <is>
          <t>2026-06-12</t>
        </is>
      </c>
      <c r="O75" s="5" t="inlineStr"/>
    </row>
    <row r="76">
      <c r="A76" s="5" t="inlineStr">
        <is>
          <t>T-075</t>
        </is>
      </c>
      <c r="B76" s="5" t="inlineStr">
        <is>
          <t>Sorties</t>
        </is>
      </c>
      <c r="C76" s="5" t="inlineStr">
        <is>
          <t>REQ-SOR-10</t>
        </is>
      </c>
      <c r="D76" s="5" t="inlineStr">
        <is>
          <t>Renommage tokens manquants fallback</t>
        </is>
      </c>
      <c r="E76" s="5" t="inlineStr">
        <is>
          <t>Template avec {camera} sur photo sans EXIF</t>
        </is>
      </c>
      <c r="F76" s="5" t="inlineStr">
        <is>
          <t>Manuel</t>
        </is>
      </c>
      <c r="G76" s="5" t="inlineStr">
        <is>
          <t>T-001 OK</t>
        </is>
      </c>
      <c r="H76" s="5" t="inlineStr">
        <is>
          <t>input_pas_exif/</t>
        </is>
      </c>
      <c r="I76" s="5" t="inlineStr">
        <is>
          <t>Fallback 'unknown' au lieu de crash</t>
        </is>
      </c>
      <c r="J76" s="5" t="inlineStr"/>
      <c r="K76" s="5" t="inlineStr">
        <is>
          <t>À faire</t>
        </is>
      </c>
      <c r="L76" s="5" t="inlineStr">
        <is>
          <t>Mineur</t>
        </is>
      </c>
      <c r="M76" s="5" t="inlineStr"/>
      <c r="N76" s="5" t="inlineStr"/>
      <c r="O76" s="5" t="inlineStr"/>
    </row>
    <row r="77">
      <c r="A77" s="5" t="inlineStr">
        <is>
          <t>T-076</t>
        </is>
      </c>
      <c r="B77" s="5" t="inlineStr">
        <is>
          <t>Sorties</t>
        </is>
      </c>
      <c r="C77" s="5" t="inlineStr">
        <is>
          <t>REQ-SOR-11</t>
        </is>
      </c>
      <c r="D77" s="5" t="inlineStr">
        <is>
          <t>Burst sous-dossier Burst_NN</t>
        </is>
      </c>
      <c r="E77" s="5" t="inlineStr">
        <is>
          <t>detect_bursts ON, 5 photos &lt; 3s</t>
        </is>
      </c>
      <c r="F77" s="5" t="inlineStr">
        <is>
          <t>Auto</t>
        </is>
      </c>
      <c r="G77" s="5" t="inlineStr">
        <is>
          <t>T-001 OK</t>
        </is>
      </c>
      <c r="H77" s="5" t="inlineStr">
        <is>
          <t>input_bursts/</t>
        </is>
      </c>
      <c r="I77" s="5" t="inlineStr">
        <is>
          <t>Sous-dossier Burst_01/ contient les 5</t>
        </is>
      </c>
      <c r="J77" s="5" t="inlineStr">
        <is>
          <t>run_tests.py : 0 erreur ; références conformes</t>
        </is>
      </c>
      <c r="K77" s="5" t="inlineStr">
        <is>
          <t>OK</t>
        </is>
      </c>
      <c r="L77" s="5" t="inlineStr">
        <is>
          <t>Mineur</t>
        </is>
      </c>
      <c r="M77" s="5" t="inlineStr">
        <is>
          <t>Claude (campagne auto)</t>
        </is>
      </c>
      <c r="N77" s="5" t="inlineStr">
        <is>
          <t>2026-06-12</t>
        </is>
      </c>
      <c r="O77" s="5" t="inlineStr"/>
    </row>
    <row r="78">
      <c r="A78" s="5" t="inlineStr">
        <is>
          <t>T-077</t>
        </is>
      </c>
      <c r="B78" s="5" t="inlineStr">
        <is>
          <t>Sorties</t>
        </is>
      </c>
      <c r="C78" s="5" t="inlineStr">
        <is>
          <t>REQ-SOR-12</t>
        </is>
      </c>
      <c r="D78" s="5" t="inlineStr">
        <is>
          <t>Cleanup post-MOVE empty source dirs</t>
        </is>
      </c>
      <c r="E78" s="5" t="inlineStr">
        <is>
          <t>MOVE + cleanup ON</t>
        </is>
      </c>
      <c r="F78" s="5" t="inlineStr">
        <is>
          <t>Manuel</t>
        </is>
      </c>
      <c r="G78" s="5" t="inlineStr">
        <is>
          <t>T-001 OK</t>
        </is>
      </c>
      <c r="H78" s="5" t="inlineStr">
        <is>
          <t>input_nominal/</t>
        </is>
      </c>
      <c r="I78" s="5" t="inlineStr">
        <is>
          <t>Sous-dossiers source vides supprimés à la fin</t>
        </is>
      </c>
      <c r="J78" s="5" t="inlineStr"/>
      <c r="K78" s="5" t="inlineStr">
        <is>
          <t>À faire</t>
        </is>
      </c>
      <c r="L78" s="5" t="inlineStr">
        <is>
          <t>Mineur</t>
        </is>
      </c>
      <c r="M78" s="5" t="inlineStr"/>
      <c r="N78" s="5" t="inlineStr"/>
      <c r="O78" s="5" t="inlineStr"/>
    </row>
    <row r="79">
      <c r="A79" s="5" t="inlineStr">
        <is>
          <t>T-078</t>
        </is>
      </c>
      <c r="B79" s="5" t="inlineStr">
        <is>
          <t>Sorties</t>
        </is>
      </c>
      <c r="C79" s="5" t="inlineStr">
        <is>
          <t>REQ-SOR-13</t>
        </is>
      </c>
      <c r="D79" s="5" t="inlineStr">
        <is>
          <t>Index incrémental persisté</t>
        </is>
      </c>
      <c r="E79" s="5" t="inlineStr">
        <is>
          <t>Mode incrémental ON, 2 runs</t>
        </is>
      </c>
      <c r="F79" s="5" t="inlineStr">
        <is>
          <t>Manuel</t>
        </is>
      </c>
      <c r="G79" s="5" t="inlineStr">
        <is>
          <t>T-001 OK</t>
        </is>
      </c>
      <c r="H79" s="5" t="inlineStr">
        <is>
          <t>input_nominal/</t>
        </is>
      </c>
      <c r="I79" s="5" t="inlineStr">
        <is>
          <t>dest/.photoorganizer_index.json créé et enrichi</t>
        </is>
      </c>
      <c r="J79" s="5" t="inlineStr"/>
      <c r="K79" s="5" t="inlineStr">
        <is>
          <t>À faire</t>
        </is>
      </c>
      <c r="L79" s="5" t="inlineStr">
        <is>
          <t>Majeur</t>
        </is>
      </c>
      <c r="M79" s="5" t="inlineStr"/>
      <c r="N79" s="5" t="inlineStr"/>
      <c r="O79" s="5" t="inlineStr"/>
    </row>
    <row r="80">
      <c r="A80" s="5" t="inlineStr">
        <is>
          <t>T-079</t>
        </is>
      </c>
      <c r="B80" s="5" t="inlineStr">
        <is>
          <t>Sorties</t>
        </is>
      </c>
      <c r="C80" s="5" t="inlineStr">
        <is>
          <t>REQ-SOR-14</t>
        </is>
      </c>
      <c r="D80" s="5" t="inlineStr">
        <is>
          <t>Sans date → dossier 'Sans date'</t>
        </is>
      </c>
      <c r="E80" s="5" t="inlineStr">
        <is>
          <t>Date critère + photo sans EXIF</t>
        </is>
      </c>
      <c r="F80" s="5" t="inlineStr">
        <is>
          <t>Auto</t>
        </is>
      </c>
      <c r="G80" s="5" t="inlineStr">
        <is>
          <t>T-001 OK</t>
        </is>
      </c>
      <c r="H80" s="5" t="inlineStr">
        <is>
          <t>input_pas_exif/</t>
        </is>
      </c>
      <c r="I80" s="5" t="inlineStr">
        <is>
          <t>Photos placées dans dest/Sans date/</t>
        </is>
      </c>
      <c r="J80" s="5" t="inlineStr">
        <is>
          <t>run_tests.py : 0 erreur ; références conformes</t>
        </is>
      </c>
      <c r="K80" s="5" t="inlineStr">
        <is>
          <t>OK</t>
        </is>
      </c>
      <c r="L80" s="5" t="inlineStr">
        <is>
          <t>Mineur</t>
        </is>
      </c>
      <c r="M80" s="5" t="inlineStr">
        <is>
          <t>Claude (campagne auto)</t>
        </is>
      </c>
      <c r="N80" s="5" t="inlineStr">
        <is>
          <t>2026-06-12</t>
        </is>
      </c>
      <c r="O80" s="5" t="inlineStr"/>
    </row>
    <row r="81">
      <c r="A81" s="5" t="inlineStr">
        <is>
          <t>T-080</t>
        </is>
      </c>
      <c r="B81" s="5" t="inlineStr">
        <is>
          <t>Sorties</t>
        </is>
      </c>
      <c r="C81" s="5" t="inlineStr">
        <is>
          <t>REQ-SOR-15</t>
        </is>
      </c>
      <c r="D81" s="5" t="inlineStr">
        <is>
          <t>GPS sans nom → Lat_x_Lon_y</t>
        </is>
      </c>
      <c r="E81" s="5" t="inlineStr">
        <is>
          <t>Géocodage off + GPS critère</t>
        </is>
      </c>
      <c r="F81" s="5" t="inlineStr">
        <is>
          <t>Manuel</t>
        </is>
      </c>
      <c r="G81" s="5" t="inlineStr">
        <is>
          <t>T-001 OK</t>
        </is>
      </c>
      <c r="H81" s="5" t="inlineStr">
        <is>
          <t>input_gps_piexif/</t>
        </is>
      </c>
      <c r="I81" s="5" t="inlineStr">
        <is>
          <t>Sous-dossiers Lat_48.85_Lon_2.35</t>
        </is>
      </c>
      <c r="J81" s="5" t="inlineStr"/>
      <c r="K81" s="5" t="inlineStr">
        <is>
          <t>À faire</t>
        </is>
      </c>
      <c r="L81" s="5" t="inlineStr">
        <is>
          <t>Mineur</t>
        </is>
      </c>
      <c r="M81" s="5" t="inlineStr"/>
      <c r="N81" s="5" t="inlineStr"/>
      <c r="O81" s="5" t="inlineStr"/>
    </row>
    <row r="82">
      <c r="A82" s="6" t="inlineStr">
        <is>
          <t>T-081</t>
        </is>
      </c>
      <c r="B82" s="6" t="inlineStr">
        <is>
          <t>Cas limites</t>
        </is>
      </c>
      <c r="C82" s="6" t="inlineStr">
        <is>
          <t>REQ-LIM-01</t>
        </is>
      </c>
      <c r="D82" s="6" t="inlineStr">
        <is>
          <t>Source = destination</t>
        </is>
      </c>
      <c r="E82" s="6" t="inlineStr">
        <is>
          <t>Choisir le même dossier en source et dest</t>
        </is>
      </c>
      <c r="F82" s="6" t="inlineStr">
        <is>
          <t>Manuel</t>
        </is>
      </c>
      <c r="G82" s="6" t="inlineStr">
        <is>
          <t>T-001 OK</t>
        </is>
      </c>
      <c r="H82" s="6" t="inlineStr">
        <is>
          <t>input_nominal/</t>
        </is>
      </c>
      <c r="I82" s="6" t="inlineStr">
        <is>
          <t>Refus avec message d'erreur explicite ou fonctionnement safe</t>
        </is>
      </c>
      <c r="J82" s="6" t="inlineStr"/>
      <c r="K82" s="6" t="inlineStr">
        <is>
          <t>À faire</t>
        </is>
      </c>
      <c r="L82" s="6" t="inlineStr">
        <is>
          <t>Majeur</t>
        </is>
      </c>
      <c r="M82" s="6" t="inlineStr"/>
      <c r="N82" s="6" t="inlineStr"/>
      <c r="O82" s="6" t="inlineStr"/>
    </row>
    <row r="83">
      <c r="A83" s="6" t="inlineStr">
        <is>
          <t>T-082</t>
        </is>
      </c>
      <c r="B83" s="6" t="inlineStr">
        <is>
          <t>Cas limites</t>
        </is>
      </c>
      <c r="C83" s="6" t="inlineStr">
        <is>
          <t>REQ-LIM-02</t>
        </is>
      </c>
      <c r="D83" s="6" t="inlineStr">
        <is>
          <t>Destination read-only</t>
        </is>
      </c>
      <c r="E83" s="6" t="inlineStr">
        <is>
          <t>Dest avec droits 'Lecture seule'</t>
        </is>
      </c>
      <c r="F83" s="6" t="inlineStr">
        <is>
          <t>Manuel</t>
        </is>
      </c>
      <c r="G83" s="6" t="inlineStr">
        <is>
          <t>T-001 OK</t>
        </is>
      </c>
      <c r="H83" s="6" t="inlineStr">
        <is>
          <t>input_nominal/</t>
        </is>
      </c>
      <c r="I83" s="6" t="inlineStr">
        <is>
          <t>Erreur OS catchée, message clair</t>
        </is>
      </c>
      <c r="J83" s="6" t="inlineStr"/>
      <c r="K83" s="6" t="inlineStr">
        <is>
          <t>À faire</t>
        </is>
      </c>
      <c r="L83" s="6" t="inlineStr">
        <is>
          <t>Majeur</t>
        </is>
      </c>
      <c r="M83" s="6" t="inlineStr"/>
      <c r="N83" s="6" t="inlineStr"/>
      <c r="O83" s="6" t="inlineStr"/>
    </row>
    <row r="84">
      <c r="A84" s="6" t="inlineStr">
        <is>
          <t>T-083</t>
        </is>
      </c>
      <c r="B84" s="6" t="inlineStr">
        <is>
          <t>Cas limites</t>
        </is>
      </c>
      <c r="C84" s="6" t="inlineStr">
        <is>
          <t>REQ-LIM-03</t>
        </is>
      </c>
      <c r="D84" s="6" t="inlineStr">
        <is>
          <t>Espace disque insuffisant</t>
        </is>
      </c>
      <c r="E84" s="6" t="inlineStr">
        <is>
          <t>Option « Valider espace disque » activée, destination pleine</t>
        </is>
      </c>
      <c r="F84" s="6" t="inlineStr">
        <is>
          <t>Manuel</t>
        </is>
      </c>
      <c r="G84" s="6" t="inlineStr">
        <is>
          <t>T-001 OK</t>
        </is>
      </c>
      <c r="H84" s="6" t="inlineStr">
        <is>
          <t>input_volumineux/</t>
        </is>
      </c>
      <c r="I84" s="6" t="inlineStr">
        <is>
          <t>Fenêtre d'avertissement avec choix Continuer/Annuler</t>
        </is>
      </c>
      <c r="J84" s="6" t="inlineStr"/>
      <c r="K84" s="6" t="inlineStr">
        <is>
          <t>À faire</t>
        </is>
      </c>
      <c r="L84" s="6" t="inlineStr">
        <is>
          <t>Majeur</t>
        </is>
      </c>
      <c r="M84" s="6" t="inlineStr"/>
      <c r="N84" s="6" t="inlineStr"/>
      <c r="O84" s="6" t="inlineStr"/>
    </row>
    <row r="85">
      <c r="A85" s="6" t="inlineStr">
        <is>
          <t>T-084</t>
        </is>
      </c>
      <c r="B85" s="6" t="inlineStr">
        <is>
          <t>Cas limites</t>
        </is>
      </c>
      <c r="C85" s="6" t="inlineStr">
        <is>
          <t>REQ-LIM-04</t>
        </is>
      </c>
      <c r="D85" s="6" t="inlineStr">
        <is>
          <t>Chemin avec espaces + UTF-8</t>
        </is>
      </c>
      <c r="E85" s="6" t="inlineStr">
        <is>
          <t>Source = 'D:\Photos été 2024\été #'</t>
        </is>
      </c>
      <c r="F85" s="6" t="inlineStr">
        <is>
          <t>Manuel</t>
        </is>
      </c>
      <c r="G85" s="6" t="inlineStr">
        <is>
          <t>T-001 OK</t>
        </is>
      </c>
      <c r="H85" s="6" t="inlineStr">
        <is>
          <t>input_nominal/</t>
        </is>
      </c>
      <c r="I85" s="6" t="inlineStr">
        <is>
          <t>Organisation OK, pas de crash</t>
        </is>
      </c>
      <c r="J85" s="6" t="inlineStr"/>
      <c r="K85" s="6" t="inlineStr">
        <is>
          <t>À faire</t>
        </is>
      </c>
      <c r="L85" s="6" t="inlineStr">
        <is>
          <t>Majeur</t>
        </is>
      </c>
      <c r="M85" s="6" t="inlineStr"/>
      <c r="N85" s="6" t="inlineStr"/>
      <c r="O85" s="6" t="inlineStr"/>
    </row>
    <row r="86">
      <c r="A86" s="6" t="inlineStr">
        <is>
          <t>T-085</t>
        </is>
      </c>
      <c r="B86" s="6" t="inlineStr">
        <is>
          <t>Cas limites</t>
        </is>
      </c>
      <c r="C86" s="6" t="inlineStr">
        <is>
          <t>REQ-LIM-05</t>
        </is>
      </c>
      <c r="D86" s="6" t="inlineStr">
        <is>
          <t>Fichier déjà existant — ignorer si identique</t>
        </is>
      </c>
      <c r="E86" s="6" t="inlineStr">
        <is>
          <t>Relancer l'organisation à l'identique avec « ignorer si identique » coché</t>
        </is>
      </c>
      <c r="F86" s="6" t="inlineStr">
        <is>
          <t>Manuel</t>
        </is>
      </c>
      <c r="G86" s="6" t="inlineStr">
        <is>
          <t>T-001 OK</t>
        </is>
      </c>
      <c r="H86" s="6" t="inlineStr">
        <is>
          <t>input_nominal/</t>
        </is>
      </c>
      <c r="I86" s="6" t="inlineStr">
        <is>
          <t>2e passage : 0 fichier traité, N fichiers ignorés</t>
        </is>
      </c>
      <c r="J86" s="6" t="inlineStr"/>
      <c r="K86" s="6" t="inlineStr">
        <is>
          <t>À faire</t>
        </is>
      </c>
      <c r="L86" s="6" t="inlineStr">
        <is>
          <t>Mineur</t>
        </is>
      </c>
      <c r="M86" s="6" t="inlineStr"/>
      <c r="N86" s="6" t="inlineStr"/>
      <c r="O86" s="6" t="inlineStr"/>
    </row>
    <row r="87">
      <c r="A87" s="6" t="inlineStr">
        <is>
          <t>T-086</t>
        </is>
      </c>
      <c r="B87" s="6" t="inlineStr">
        <is>
          <t>Cas limites</t>
        </is>
      </c>
      <c r="C87" s="6" t="inlineStr">
        <is>
          <t>REQ-LIM-06</t>
        </is>
      </c>
      <c r="D87" s="6" t="inlineStr">
        <is>
          <t>Trash re-scan exclu</t>
        </is>
      </c>
      <c r="E87" s="6" t="inlineStr">
        <is>
          <t>Mode TRASH puis re-list source</t>
        </is>
      </c>
      <c r="F87" s="6" t="inlineStr">
        <is>
          <t>Manuel</t>
        </is>
      </c>
      <c r="G87" s="6" t="inlineStr">
        <is>
          <t>T-001 OK</t>
        </is>
      </c>
      <c r="H87" s="6" t="inlineStr">
        <is>
          <t>input_doublons/</t>
        </is>
      </c>
      <c r="I87" s="6" t="inlineStr">
        <is>
          <t>$Recycle.Bin / .Trash-* exclus du scan</t>
        </is>
      </c>
      <c r="J87" s="6" t="inlineStr"/>
      <c r="K87" s="6" t="inlineStr">
        <is>
          <t>À faire</t>
        </is>
      </c>
      <c r="L87" s="6" t="inlineStr">
        <is>
          <t>Majeur</t>
        </is>
      </c>
      <c r="M87" s="6" t="inlineStr"/>
      <c r="N87" s="6" t="inlineStr"/>
      <c r="O87" s="6" t="inlineStr"/>
    </row>
    <row r="88">
      <c r="A88" s="6" t="inlineStr">
        <is>
          <t>T-087</t>
        </is>
      </c>
      <c r="B88" s="6" t="inlineStr">
        <is>
          <t>Cas limites</t>
        </is>
      </c>
      <c r="C88" s="6" t="inlineStr">
        <is>
          <t>REQ-LIM-07</t>
        </is>
      </c>
      <c r="D88" s="6" t="inlineStr">
        <is>
          <t>Multi-source déduplication</t>
        </is>
      </c>
      <c r="E88" s="6" t="inlineStr">
        <is>
          <t>source1;source1 (même chemin 2 fois)</t>
        </is>
      </c>
      <c r="F88" s="6" t="inlineStr">
        <is>
          <t>Manuel</t>
        </is>
      </c>
      <c r="G88" s="6" t="inlineStr">
        <is>
          <t>T-001 OK</t>
        </is>
      </c>
      <c r="H88" s="6" t="inlineStr">
        <is>
          <t>input_nominal/</t>
        </is>
      </c>
      <c r="I88" s="6" t="inlineStr">
        <is>
          <t>Fichiers dédupliqués via normcase+abspath</t>
        </is>
      </c>
      <c r="J88" s="6" t="inlineStr"/>
      <c r="K88" s="6" t="inlineStr">
        <is>
          <t>À faire</t>
        </is>
      </c>
      <c r="L88" s="6" t="inlineStr">
        <is>
          <t>Mineur</t>
        </is>
      </c>
      <c r="M88" s="6" t="inlineStr"/>
      <c r="N88" s="6" t="inlineStr"/>
      <c r="O88" s="6" t="inlineStr"/>
    </row>
    <row r="89">
      <c r="A89" s="6" t="inlineStr">
        <is>
          <t>T-088</t>
        </is>
      </c>
      <c r="B89" s="6" t="inlineStr">
        <is>
          <t>Cas limites</t>
        </is>
      </c>
      <c r="C89" s="6" t="inlineStr">
        <is>
          <t>REQ-LIM-08</t>
        </is>
      </c>
      <c r="D89" s="6" t="inlineStr">
        <is>
          <t>Template tokens sur photo sans date</t>
        </is>
      </c>
      <c r="E89" s="6" t="inlineStr">
        <is>
          <t>Template {date:%Y%m%d}_{original}</t>
        </is>
      </c>
      <c r="F89" s="6" t="inlineStr">
        <is>
          <t>Manuel</t>
        </is>
      </c>
      <c r="G89" s="6" t="inlineStr">
        <is>
          <t>T-001 OK</t>
        </is>
      </c>
      <c r="H89" s="6" t="inlineStr">
        <is>
          <t>input_pas_exif/</t>
        </is>
      </c>
      <c r="I89" s="6" t="inlineStr">
        <is>
          <t>Token date remplacé par 'unknown'</t>
        </is>
      </c>
      <c r="J89" s="6" t="inlineStr"/>
      <c r="K89" s="6" t="inlineStr">
        <is>
          <t>À faire</t>
        </is>
      </c>
      <c r="L89" s="6" t="inlineStr">
        <is>
          <t>Mineur</t>
        </is>
      </c>
      <c r="M89" s="6" t="inlineStr"/>
      <c r="N89" s="6" t="inlineStr"/>
      <c r="O89" s="6" t="inlineStr"/>
    </row>
    <row r="90">
      <c r="A90" s="6" t="inlineStr">
        <is>
          <t>T-089</t>
        </is>
      </c>
      <c r="B90" s="6" t="inlineStr">
        <is>
          <t>Cas limites</t>
        </is>
      </c>
      <c r="C90" s="6" t="inlineStr">
        <is>
          <t>REQ-LIM-09</t>
        </is>
      </c>
      <c r="D90" s="6" t="inlineStr">
        <is>
          <t>auto_rename collisions</t>
        </is>
      </c>
      <c r="E90" s="6" t="inlineStr">
        <is>
          <t>Re-run avec auto_rename ON</t>
        </is>
      </c>
      <c r="F90" s="6" t="inlineStr">
        <is>
          <t>Manuel</t>
        </is>
      </c>
      <c r="G90" s="6" t="inlineStr">
        <is>
          <t>T-001 OK</t>
        </is>
      </c>
      <c r="H90" s="6" t="inlineStr">
        <is>
          <t>input_nominal/</t>
        </is>
      </c>
      <c r="I90" s="6" t="inlineStr">
        <is>
          <t>Fichiers renommés _1, _2, _3 sans crash</t>
        </is>
      </c>
      <c r="J90" s="6" t="inlineStr"/>
      <c r="K90" s="6" t="inlineStr">
        <is>
          <t>À faire</t>
        </is>
      </c>
      <c r="L90" s="6" t="inlineStr">
        <is>
          <t>Majeur</t>
        </is>
      </c>
      <c r="M90" s="6" t="inlineStr"/>
      <c r="N90" s="6" t="inlineStr"/>
      <c r="O90" s="6" t="inlineStr"/>
    </row>
    <row r="91">
      <c r="A91" s="6" t="inlineStr">
        <is>
          <t>T-090</t>
        </is>
      </c>
      <c r="B91" s="6" t="inlineStr">
        <is>
          <t>Cas limites</t>
        </is>
      </c>
      <c r="C91" s="6" t="inlineStr">
        <is>
          <t>REQ-LIM-10</t>
        </is>
      </c>
      <c r="D91" s="6" t="inlineStr">
        <is>
          <t>Date filtre exclut tout</t>
        </is>
      </c>
      <c r="E91" s="6" t="inlineStr">
        <is>
          <t>date_min = 2099-01-01</t>
        </is>
      </c>
      <c r="F91" s="6" t="inlineStr">
        <is>
          <t>Manuel</t>
        </is>
      </c>
      <c r="G91" s="6" t="inlineStr">
        <is>
          <t>T-001 OK</t>
        </is>
      </c>
      <c r="H91" s="6" t="inlineStr">
        <is>
          <t>input_nominal/</t>
        </is>
      </c>
      <c r="I91" s="6" t="inlineStr">
        <is>
          <t>0 fichier éligible, message clair</t>
        </is>
      </c>
      <c r="J91" s="6" t="inlineStr"/>
      <c r="K91" s="6" t="inlineStr">
        <is>
          <t>À faire</t>
        </is>
      </c>
      <c r="L91" s="6" t="inlineStr">
        <is>
          <t>Mineur</t>
        </is>
      </c>
      <c r="M91" s="6" t="inlineStr"/>
      <c r="N91" s="6" t="inlineStr"/>
      <c r="O91" s="6" t="inlineStr"/>
    </row>
    <row r="92">
      <c r="A92" s="6" t="inlineStr">
        <is>
          <t>T-091</t>
        </is>
      </c>
      <c r="B92" s="6" t="inlineStr">
        <is>
          <t>Cas limites</t>
        </is>
      </c>
      <c r="C92" s="6" t="inlineStr">
        <is>
          <t>REQ-LIM-11</t>
        </is>
      </c>
      <c r="D92" s="6" t="inlineStr">
        <is>
          <t>Filtre rating exclut tout</t>
        </is>
      </c>
      <c r="E92" s="6" t="inlineStr">
        <is>
          <t>rating_min = 5, aucune photo notée</t>
        </is>
      </c>
      <c r="F92" s="6" t="inlineStr">
        <is>
          <t>Manuel</t>
        </is>
      </c>
      <c r="G92" s="6" t="inlineStr">
        <is>
          <t>T-001 OK</t>
        </is>
      </c>
      <c r="H92" s="6" t="inlineStr">
        <is>
          <t>input_nominal/</t>
        </is>
      </c>
      <c r="I92" s="6" t="inlineStr">
        <is>
          <t>0 fichier éligible</t>
        </is>
      </c>
      <c r="J92" s="6" t="inlineStr"/>
      <c r="K92" s="6" t="inlineStr">
        <is>
          <t>À faire</t>
        </is>
      </c>
      <c r="L92" s="6" t="inlineStr">
        <is>
          <t>Mineur</t>
        </is>
      </c>
      <c r="M92" s="6" t="inlineStr"/>
      <c r="N92" s="6" t="inlineStr"/>
      <c r="O92" s="6" t="inlineStr"/>
    </row>
    <row r="93">
      <c r="A93" s="6" t="inlineStr">
        <is>
          <t>T-092</t>
        </is>
      </c>
      <c r="B93" s="6" t="inlineStr">
        <is>
          <t>Cas limites</t>
        </is>
      </c>
      <c r="C93" s="6" t="inlineStr">
        <is>
          <t>REQ-LIM-12</t>
        </is>
      </c>
      <c r="D93" s="6" t="inlineStr">
        <is>
          <t>Filtre keywords avec OR</t>
        </is>
      </c>
      <c r="E93" s="6" t="inlineStr">
        <is>
          <t>keywords = 'vacances, mariage'</t>
        </is>
      </c>
      <c r="F93" s="6" t="inlineStr">
        <is>
          <t>Manuel</t>
        </is>
      </c>
      <c r="G93" s="6" t="inlineStr">
        <is>
          <t>T-001 OK</t>
        </is>
      </c>
      <c r="H93" s="6" t="inlineStr">
        <is>
          <t>input_keywords/</t>
        </is>
      </c>
      <c r="I93" s="6" t="inlineStr">
        <is>
          <t>Match si AU MOINS UN mot-clé présent</t>
        </is>
      </c>
      <c r="J93" s="6" t="inlineStr"/>
      <c r="K93" s="6" t="inlineStr">
        <is>
          <t>À faire</t>
        </is>
      </c>
      <c r="L93" s="6" t="inlineStr">
        <is>
          <t>Mineur</t>
        </is>
      </c>
      <c r="M93" s="6" t="inlineStr"/>
      <c r="N93" s="6" t="inlineStr"/>
      <c r="O93" s="6" t="inlineStr"/>
    </row>
    <row r="94">
      <c r="A94" s="6" t="inlineStr">
        <is>
          <t>T-093</t>
        </is>
      </c>
      <c r="B94" s="6" t="inlineStr">
        <is>
          <t>Cas limites</t>
        </is>
      </c>
      <c r="C94" s="6" t="inlineStr">
        <is>
          <t>REQ-LIM-13</t>
        </is>
      </c>
      <c r="D94" s="6" t="inlineStr">
        <is>
          <t>Seuil de rafale trop strict</t>
        </is>
      </c>
      <c r="E94" s="6" t="inlineStr">
        <is>
          <t>Seuil = 1 s, nombre minimum = 10 photos</t>
        </is>
      </c>
      <c r="F94" s="6" t="inlineStr">
        <is>
          <t>Manuel</t>
        </is>
      </c>
      <c r="G94" s="6" t="inlineStr">
        <is>
          <t>T-001 OK</t>
        </is>
      </c>
      <c r="H94" s="6" t="inlineStr">
        <is>
          <t>input_bursts/</t>
        </is>
      </c>
      <c r="I94" s="6" t="inlineStr">
        <is>
          <t>0 rafale détectée (groupes trop petits)</t>
        </is>
      </c>
      <c r="J94" s="6" t="inlineStr"/>
      <c r="K94" s="6" t="inlineStr">
        <is>
          <t>À faire</t>
        </is>
      </c>
      <c r="L94" s="6" t="inlineStr">
        <is>
          <t>Mineur</t>
        </is>
      </c>
      <c r="M94" s="6" t="inlineStr"/>
      <c r="N94" s="6" t="inlineStr"/>
      <c r="O94" s="6" t="inlineStr"/>
    </row>
    <row r="95">
      <c r="A95" s="6" t="inlineStr">
        <is>
          <t>T-094</t>
        </is>
      </c>
      <c r="B95" s="6" t="inlineStr">
        <is>
          <t>Cas limites</t>
        </is>
      </c>
      <c r="C95" s="6" t="inlineStr">
        <is>
          <t>REQ-LIM-14</t>
        </is>
      </c>
      <c r="D95" s="6" t="inlineStr">
        <is>
          <t>Multilayer avec ordre exotique</t>
        </is>
      </c>
      <c r="E95" s="6" t="inlineStr">
        <is>
          <t>Order ['location','camera','date']</t>
        </is>
      </c>
      <c r="F95" s="6" t="inlineStr">
        <is>
          <t>Manuel</t>
        </is>
      </c>
      <c r="G95" s="6" t="inlineStr">
        <is>
          <t>T-014 OK</t>
        </is>
      </c>
      <c r="H95" s="6" t="inlineStr">
        <is>
          <t>input_nominal_with_gps/</t>
        </is>
      </c>
      <c r="I95" s="6" t="inlineStr">
        <is>
          <t>Hiérarchie GPS/Camera/Date respectée</t>
        </is>
      </c>
      <c r="J95" s="6" t="inlineStr"/>
      <c r="K95" s="6" t="inlineStr">
        <is>
          <t>À faire</t>
        </is>
      </c>
      <c r="L95" s="6" t="inlineStr">
        <is>
          <t>Mineur</t>
        </is>
      </c>
      <c r="M95" s="6" t="inlineStr"/>
      <c r="N95" s="6" t="inlineStr"/>
      <c r="O95" s="6" t="inlineStr"/>
    </row>
    <row r="96">
      <c r="A96" s="6" t="inlineStr">
        <is>
          <t>T-095</t>
        </is>
      </c>
      <c r="B96" s="6" t="inlineStr">
        <is>
          <t>Cas limites</t>
        </is>
      </c>
      <c r="C96" s="6" t="inlineStr">
        <is>
          <t>REQ-LIM-15</t>
        </is>
      </c>
      <c r="D96" s="6" t="inlineStr">
        <is>
          <t>Aucun critère coché</t>
        </is>
      </c>
      <c r="E96" s="6" t="inlineStr">
        <is>
          <t>Tout décocher, lancer</t>
        </is>
      </c>
      <c r="F96" s="6" t="inlineStr">
        <is>
          <t>Manuel</t>
        </is>
      </c>
      <c r="G96" s="6" t="inlineStr">
        <is>
          <t>T-001 OK</t>
        </is>
      </c>
      <c r="H96" s="6" t="inlineStr">
        <is>
          <t>input_nominal/</t>
        </is>
      </c>
      <c r="I96" s="6" t="inlineStr">
        <is>
          <t>Erreur ou avertissement explicite, refus de l'opération ou copie à plat</t>
        </is>
      </c>
      <c r="J96" s="6" t="inlineStr"/>
      <c r="K96" s="6" t="inlineStr">
        <is>
          <t>À faire</t>
        </is>
      </c>
      <c r="L96" s="6" t="inlineStr">
        <is>
          <t>Majeur</t>
        </is>
      </c>
      <c r="M96" s="6" t="inlineStr"/>
      <c r="N96" s="6" t="inlineStr"/>
      <c r="O96" s="6" t="inlineStr"/>
    </row>
    <row r="97">
      <c r="A97" s="6" t="inlineStr">
        <is>
          <t>T-096</t>
        </is>
      </c>
      <c r="B97" s="6" t="inlineStr">
        <is>
          <t>Cas limites</t>
        </is>
      </c>
      <c r="C97" s="6" t="inlineStr">
        <is>
          <t>REQ-LIM-16</t>
        </is>
      </c>
      <c r="D97" s="6" t="inlineStr">
        <is>
          <t>Annulation pendant scan</t>
        </is>
      </c>
      <c r="E97" s="6" t="inlineStr">
        <is>
          <t>Cliquer Annuler dès le démarrage</t>
        </is>
      </c>
      <c r="F97" s="6" t="inlineStr">
        <is>
          <t>Manuel</t>
        </is>
      </c>
      <c r="G97" s="6" t="inlineStr">
        <is>
          <t>T-001 OK</t>
        </is>
      </c>
      <c r="H97" s="6" t="inlineStr">
        <is>
          <t>input_volumineux/</t>
        </is>
      </c>
      <c r="I97" s="6" t="inlineStr">
        <is>
          <t>Arrêt &lt; 2 s, état stable, log info</t>
        </is>
      </c>
      <c r="J97" s="6" t="inlineStr"/>
      <c r="K97" s="6" t="inlineStr">
        <is>
          <t>À faire</t>
        </is>
      </c>
      <c r="L97" s="6" t="inlineStr">
        <is>
          <t>Majeur</t>
        </is>
      </c>
      <c r="M97" s="6" t="inlineStr"/>
      <c r="N97" s="6" t="inlineStr"/>
      <c r="O97" s="6" t="inlineStr"/>
    </row>
    <row r="98">
      <c r="A98" s="6" t="inlineStr">
        <is>
          <t>T-097</t>
        </is>
      </c>
      <c r="B98" s="6" t="inlineStr">
        <is>
          <t>Cas limites</t>
        </is>
      </c>
      <c r="C98" s="6" t="inlineStr">
        <is>
          <t>REQ-LIM-17</t>
        </is>
      </c>
      <c r="D98" s="6" t="inlineStr">
        <is>
          <t>Annulation à 50% organisation</t>
        </is>
      </c>
      <c r="E98" s="6" t="inlineStr">
        <is>
          <t>Annuler à mi-parcours</t>
        </is>
      </c>
      <c r="F98" s="6" t="inlineStr">
        <is>
          <t>Manuel</t>
        </is>
      </c>
      <c r="G98" s="6" t="inlineStr">
        <is>
          <t>T-001 OK</t>
        </is>
      </c>
      <c r="H98" s="6" t="inlineStr">
        <is>
          <t>input_volumineux/</t>
        </is>
      </c>
      <c r="I98" s="6" t="inlineStr">
        <is>
          <t>Arrêt &lt; 2 s, fichiers déjà traités intacts</t>
        </is>
      </c>
      <c r="J98" s="6" t="inlineStr"/>
      <c r="K98" s="6" t="inlineStr">
        <is>
          <t>À faire</t>
        </is>
      </c>
      <c r="L98" s="6" t="inlineStr">
        <is>
          <t>Majeur</t>
        </is>
      </c>
      <c r="M98" s="6" t="inlineStr"/>
      <c r="N98" s="6" t="inlineStr"/>
      <c r="O98" s="6" t="inlineStr"/>
    </row>
    <row r="99">
      <c r="A99" s="6" t="inlineStr">
        <is>
          <t>T-098</t>
        </is>
      </c>
      <c r="B99" s="6" t="inlineStr">
        <is>
          <t>Cas limites</t>
        </is>
      </c>
      <c r="C99" s="6" t="inlineStr">
        <is>
          <t>REQ-LIM-18</t>
        </is>
      </c>
      <c r="D99" s="6" t="inlineStr">
        <is>
          <t>Preset YAML corrompu</t>
        </is>
      </c>
      <c r="E99" s="6" t="inlineStr">
        <is>
          <t>Charger un preset YAML invalide</t>
        </is>
      </c>
      <c r="F99" s="6" t="inlineStr">
        <is>
          <t>Manuel</t>
        </is>
      </c>
      <c r="G99" s="6" t="inlineStr">
        <is>
          <t>T-001 OK</t>
        </is>
      </c>
      <c r="H99" s="6" t="inlineStr">
        <is>
          <t>preset_corrompu.yaml</t>
        </is>
      </c>
      <c r="I99" s="6" t="inlineStr">
        <is>
          <t>Messagebox erreur, pas de crash</t>
        </is>
      </c>
      <c r="J99" s="6" t="inlineStr"/>
      <c r="K99" s="6" t="inlineStr">
        <is>
          <t>À faire</t>
        </is>
      </c>
      <c r="L99" s="6" t="inlineStr">
        <is>
          <t>Mineur</t>
        </is>
      </c>
      <c r="M99" s="6" t="inlineStr"/>
      <c r="N99" s="6" t="inlineStr"/>
      <c r="O99" s="6" t="inlineStr"/>
    </row>
    <row r="100">
      <c r="A100" s="6" t="inlineStr">
        <is>
          <t>T-099</t>
        </is>
      </c>
      <c r="B100" s="6" t="inlineStr">
        <is>
          <t>Cas limites</t>
        </is>
      </c>
      <c r="C100" s="6" t="inlineStr">
        <is>
          <t>REQ-LIM-19</t>
        </is>
      </c>
      <c r="D100" s="6" t="inlineStr">
        <is>
          <t>Doublons sur 0 fichier</t>
        </is>
      </c>
      <c r="E100" s="6" t="inlineStr">
        <is>
          <t>Rechercher dans dossier vide</t>
        </is>
      </c>
      <c r="F100" s="6" t="inlineStr">
        <is>
          <t>Manuel</t>
        </is>
      </c>
      <c r="G100" s="6" t="inlineStr">
        <is>
          <t>T-001 OK</t>
        </is>
      </c>
      <c r="H100" s="6" t="inlineStr">
        <is>
          <t>input_vide/</t>
        </is>
      </c>
      <c r="I100" s="6" t="inlineStr">
        <is>
          <t>Message 'Aucun doublon', pas de crash</t>
        </is>
      </c>
      <c r="J100" s="6" t="inlineStr"/>
      <c r="K100" s="6" t="inlineStr">
        <is>
          <t>À faire</t>
        </is>
      </c>
      <c r="L100" s="6" t="inlineStr">
        <is>
          <t>Mineur</t>
        </is>
      </c>
      <c r="M100" s="6" t="inlineStr"/>
      <c r="N100" s="6" t="inlineStr"/>
      <c r="O100" s="6" t="inlineStr"/>
    </row>
    <row r="101">
      <c r="A101" s="6" t="inlineStr">
        <is>
          <t>T-100</t>
        </is>
      </c>
      <c r="B101" s="6" t="inlineStr">
        <is>
          <t>Cas limites</t>
        </is>
      </c>
      <c r="C101" s="6" t="inlineStr">
        <is>
          <t>REQ-LIM-20</t>
        </is>
      </c>
      <c r="D101" s="6" t="inlineStr">
        <is>
          <t>Drag fichier (pas dossier)</t>
        </is>
      </c>
      <c r="E101" s="6" t="inlineStr">
        <is>
          <t>Glisser un .jpg sur champ Source</t>
        </is>
      </c>
      <c r="F101" s="6" t="inlineStr">
        <is>
          <t>Manuel</t>
        </is>
      </c>
      <c r="G101" s="6" t="inlineStr">
        <is>
          <t>tkinterdnd2 OK</t>
        </is>
      </c>
      <c r="H101" s="6" t="inlineStr">
        <is>
          <t>—</t>
        </is>
      </c>
      <c r="I101" s="6" t="inlineStr">
        <is>
          <t>Refus silencieux (path doit être dossier)</t>
        </is>
      </c>
      <c r="J101" s="6" t="inlineStr"/>
      <c r="K101" s="6" t="inlineStr">
        <is>
          <t>À faire</t>
        </is>
      </c>
      <c r="L101" s="6" t="inlineStr">
        <is>
          <t>Mineur</t>
        </is>
      </c>
      <c r="M101" s="6" t="inlineStr"/>
      <c r="N101" s="6" t="inlineStr"/>
      <c r="O101" s="6" t="inlineStr"/>
    </row>
    <row r="102">
      <c r="A102" s="6" t="inlineStr">
        <is>
          <t>T-101</t>
        </is>
      </c>
      <c r="B102" s="6" t="inlineStr">
        <is>
          <t>Cas limites</t>
        </is>
      </c>
      <c r="C102" s="6" t="inlineStr">
        <is>
          <t>REQ-LIM-21</t>
        </is>
      </c>
      <c r="D102" s="6" t="inlineStr">
        <is>
          <t>Hors-ligne géocodage</t>
        </is>
      </c>
      <c r="E102" s="6" t="inlineStr">
        <is>
          <t>Pas d'internet + Par location ON + géocodage ON</t>
        </is>
      </c>
      <c r="F102" s="6" t="inlineStr">
        <is>
          <t>Manuel</t>
        </is>
      </c>
      <c r="G102" s="6" t="inlineStr">
        <is>
          <t>Network down</t>
        </is>
      </c>
      <c r="H102" s="6" t="inlineStr">
        <is>
          <t>input_gps_piexif/</t>
        </is>
      </c>
      <c r="I102" s="6" t="inlineStr">
        <is>
          <t>Fallback Lat_x_Lon_y, pas de timeout long</t>
        </is>
      </c>
      <c r="J102" s="6" t="inlineStr"/>
      <c r="K102" s="6" t="inlineStr">
        <is>
          <t>À faire</t>
        </is>
      </c>
      <c r="L102" s="6" t="inlineStr">
        <is>
          <t>Majeur</t>
        </is>
      </c>
      <c r="M102" s="6" t="inlineStr"/>
      <c r="N102" s="6" t="inlineStr"/>
      <c r="O102" s="6" t="inlineStr"/>
    </row>
    <row r="103">
      <c r="A103" s="6" t="inlineStr">
        <is>
          <t>T-102</t>
        </is>
      </c>
      <c r="B103" s="6" t="inlineStr">
        <is>
          <t>Cas limites</t>
        </is>
      </c>
      <c r="C103" s="6" t="inlineStr">
        <is>
          <t>REQ-LIM-22</t>
        </is>
      </c>
      <c r="D103" s="6" t="inlineStr">
        <is>
          <t>Permissions destination</t>
        </is>
      </c>
      <c r="E103" s="6" t="inlineStr">
        <is>
          <t>Dest = C:\Windows\System32 (UAC requis)</t>
        </is>
      </c>
      <c r="F103" s="6" t="inlineStr">
        <is>
          <t>Manuel</t>
        </is>
      </c>
      <c r="G103" s="6" t="inlineStr">
        <is>
          <t>T-001 OK</t>
        </is>
      </c>
      <c r="H103" s="6" t="inlineStr">
        <is>
          <t>input_nominal/</t>
        </is>
      </c>
      <c r="I103" s="6" t="inlineStr">
        <is>
          <t>Erreur clair, pas de crash</t>
        </is>
      </c>
      <c r="J103" s="6" t="inlineStr"/>
      <c r="K103" s="6" t="inlineStr">
        <is>
          <t>À faire</t>
        </is>
      </c>
      <c r="L103" s="6" t="inlineStr">
        <is>
          <t>Majeur</t>
        </is>
      </c>
      <c r="M103" s="6" t="inlineStr"/>
      <c r="N103" s="6" t="inlineStr"/>
      <c r="O103" s="6" t="inlineStr"/>
    </row>
    <row r="104">
      <c r="A104" s="6" t="inlineStr">
        <is>
          <t>T-103</t>
        </is>
      </c>
      <c r="B104" s="6" t="inlineStr">
        <is>
          <t>Cas limites</t>
        </is>
      </c>
      <c r="C104" s="6" t="inlineStr">
        <is>
          <t>REQ-LIM-23</t>
        </is>
      </c>
      <c r="D104" s="6" t="inlineStr">
        <is>
          <t>Source supprimée pendant op</t>
        </is>
      </c>
      <c r="E104" s="6" t="inlineStr">
        <is>
          <t>Sup dossier source pendant scan</t>
        </is>
      </c>
      <c r="F104" s="6" t="inlineStr">
        <is>
          <t>Manuel</t>
        </is>
      </c>
      <c r="G104" s="6" t="inlineStr">
        <is>
          <t>T-001 OK</t>
        </is>
      </c>
      <c r="H104" s="6" t="inlineStr">
        <is>
          <t>input_nominal/</t>
        </is>
      </c>
      <c r="I104" s="6" t="inlineStr">
        <is>
          <t>Erreurs catchées par fichier, total cohérent</t>
        </is>
      </c>
      <c r="J104" s="6" t="inlineStr"/>
      <c r="K104" s="6" t="inlineStr">
        <is>
          <t>À faire</t>
        </is>
      </c>
      <c r="L104" s="6" t="inlineStr">
        <is>
          <t>Majeur</t>
        </is>
      </c>
      <c r="M104" s="6" t="inlineStr"/>
      <c r="N104" s="6" t="inlineStr"/>
      <c r="O104" s="6" t="inlineStr"/>
    </row>
    <row r="105">
      <c r="A105" s="6" t="inlineStr">
        <is>
          <t>T-104</t>
        </is>
      </c>
      <c r="B105" s="6" t="inlineStr">
        <is>
          <t>Cas limites</t>
        </is>
      </c>
      <c r="C105" s="6" t="inlineStr">
        <is>
          <t>REQ-LIM-24</t>
        </is>
      </c>
      <c r="D105" s="6" t="inlineStr">
        <is>
          <t>Schedule trigger app close</t>
        </is>
      </c>
      <c r="E105" s="6" t="inlineStr">
        <is>
          <t>Activer schedule, fermer app</t>
        </is>
      </c>
      <c r="F105" s="6" t="inlineStr">
        <is>
          <t>Manuel</t>
        </is>
      </c>
      <c r="G105" s="6" t="inlineStr">
        <is>
          <t>T-001 OK</t>
        </is>
      </c>
      <c r="H105" s="6" t="inlineStr">
        <is>
          <t>—</t>
        </is>
      </c>
      <c r="I105" s="6" t="inlineStr">
        <is>
          <t>Scheduler thread stoppe proprement</t>
        </is>
      </c>
      <c r="J105" s="6" t="inlineStr"/>
      <c r="K105" s="6" t="inlineStr">
        <is>
          <t>À faire</t>
        </is>
      </c>
      <c r="L105" s="6" t="inlineStr">
        <is>
          <t>Mineur</t>
        </is>
      </c>
      <c r="M105" s="6" t="inlineStr"/>
      <c r="N105" s="6" t="inlineStr"/>
      <c r="O105" s="6" t="inlineStr"/>
    </row>
    <row r="106">
      <c r="A106" s="6" t="inlineStr">
        <is>
          <t>T-105</t>
        </is>
      </c>
      <c r="B106" s="6" t="inlineStr">
        <is>
          <t>Cas limites</t>
        </is>
      </c>
      <c r="C106" s="6" t="inlineStr">
        <is>
          <t>REQ-LIM-25</t>
        </is>
      </c>
      <c r="D106" s="6" t="inlineStr">
        <is>
          <t>Cache disque saturé</t>
        </is>
      </c>
      <c r="E106" s="6" t="inlineStr">
        <is>
          <t>Cache TTL=0 + 10k scans</t>
        </is>
      </c>
      <c r="F106" s="6" t="inlineStr">
        <is>
          <t>Manuel</t>
        </is>
      </c>
      <c r="G106" s="6" t="inlineStr">
        <is>
          <t>T-001 OK</t>
        </is>
      </c>
      <c r="H106" s="6" t="inlineStr">
        <is>
          <t>input_volumineux/</t>
        </is>
      </c>
      <c r="I106" s="6" t="inlineStr">
        <is>
          <t>Évictions, pas de crash, taille respecte limite</t>
        </is>
      </c>
      <c r="J106" s="6" t="inlineStr"/>
      <c r="K106" s="6" t="inlineStr">
        <is>
          <t>À faire</t>
        </is>
      </c>
      <c r="L106" s="6" t="inlineStr">
        <is>
          <t>Mineur</t>
        </is>
      </c>
      <c r="M106" s="6" t="inlineStr"/>
      <c r="N106" s="6" t="inlineStr"/>
      <c r="O106" s="6" t="inlineStr"/>
    </row>
    <row r="107">
      <c r="A107" s="7" t="inlineStr">
        <is>
          <t>T-106</t>
        </is>
      </c>
      <c r="B107" s="7" t="inlineStr">
        <is>
          <t>Performance</t>
        </is>
      </c>
      <c r="C107" s="7" t="inlineStr">
        <is>
          <t>REQ-PRF-01</t>
        </is>
      </c>
      <c r="D107" s="7" t="inlineStr">
        <is>
          <t>Cold-start EXE release</t>
        </is>
      </c>
      <c r="E107" s="7" t="inlineStr">
        <is>
          <t>Lancer dist/PhotoOrganizer-2.0.0.exe depuis disque froid</t>
        </is>
      </c>
      <c r="F107" s="7" t="inlineStr">
        <is>
          <t>Manuel</t>
        </is>
      </c>
      <c r="G107" s="7" t="inlineStr">
        <is>
          <t>Build OK</t>
        </is>
      </c>
      <c r="H107" s="7" t="inlineStr">
        <is>
          <t>—</t>
        </is>
      </c>
      <c r="I107" s="7" t="inlineStr">
        <is>
          <t>&lt; 5 s avant log 'Démarrage'</t>
        </is>
      </c>
      <c r="J107" s="7" t="inlineStr"/>
      <c r="K107" s="7" t="inlineStr">
        <is>
          <t>À faire</t>
        </is>
      </c>
      <c r="L107" s="7" t="inlineStr">
        <is>
          <t>Majeur</t>
        </is>
      </c>
      <c r="M107" s="7" t="inlineStr"/>
      <c r="N107" s="7" t="inlineStr"/>
      <c r="O107" s="7" t="inlineStr"/>
    </row>
    <row r="108">
      <c r="A108" s="7" t="inlineStr">
        <is>
          <t>T-107</t>
        </is>
      </c>
      <c r="B108" s="7" t="inlineStr">
        <is>
          <t>Performance</t>
        </is>
      </c>
      <c r="C108" s="7" t="inlineStr">
        <is>
          <t>REQ-PRF-02</t>
        </is>
      </c>
      <c r="D108" s="7" t="inlineStr">
        <is>
          <t>Cold-start EXE debug</t>
        </is>
      </c>
      <c r="E108" s="7" t="inlineStr">
        <is>
          <t>Lancer dist/PhotoOrganizer-2.0.0-debug.exe</t>
        </is>
      </c>
      <c r="F108" s="7" t="inlineStr">
        <is>
          <t>Manuel</t>
        </is>
      </c>
      <c r="G108" s="7" t="inlineStr">
        <is>
          <t>Build OK</t>
        </is>
      </c>
      <c r="H108" s="7" t="inlineStr">
        <is>
          <t>—</t>
        </is>
      </c>
      <c r="I108" s="7" t="inlineStr">
        <is>
          <t>&lt; 8 s (logging verbose accepté)</t>
        </is>
      </c>
      <c r="J108" s="7" t="inlineStr"/>
      <c r="K108" s="7" t="inlineStr">
        <is>
          <t>À faire</t>
        </is>
      </c>
      <c r="L108" s="7" t="inlineStr">
        <is>
          <t>Mineur</t>
        </is>
      </c>
      <c r="M108" s="7" t="inlineStr"/>
      <c r="N108" s="7" t="inlineStr"/>
      <c r="O108" s="7" t="inlineStr"/>
    </row>
    <row r="109">
      <c r="A109" s="7" t="inlineStr">
        <is>
          <t>T-108</t>
        </is>
      </c>
      <c r="B109" s="7" t="inlineStr">
        <is>
          <t>Performance</t>
        </is>
      </c>
      <c r="C109" s="7" t="inlineStr">
        <is>
          <t>REQ-PRF-03</t>
        </is>
      </c>
      <c r="D109" s="7" t="inlineStr">
        <is>
          <t>Organisation 1000 photos &lt; 60 s</t>
        </is>
      </c>
      <c r="E109" s="7" t="inlineStr">
        <is>
          <t>F01 sur input_volumineux</t>
        </is>
      </c>
      <c r="F109" s="7" t="inlineStr">
        <is>
          <t>Manuel</t>
        </is>
      </c>
      <c r="G109" s="7" t="inlineStr">
        <is>
          <t>T-001 OK</t>
        </is>
      </c>
      <c r="H109" s="7" t="inlineStr">
        <is>
          <t>input_volumineux/ (1000)</t>
        </is>
      </c>
      <c r="I109" s="7" t="inlineStr">
        <is>
          <t>Temps total &lt; 60 s sur SSD</t>
        </is>
      </c>
      <c r="J109" s="7" t="inlineStr"/>
      <c r="K109" s="7" t="inlineStr">
        <is>
          <t>À faire</t>
        </is>
      </c>
      <c r="L109" s="7" t="inlineStr">
        <is>
          <t>Mineur</t>
        </is>
      </c>
      <c r="M109" s="7" t="inlineStr"/>
      <c r="N109" s="7" t="inlineStr"/>
      <c r="O109" s="7" t="inlineStr"/>
    </row>
    <row r="110">
      <c r="A110" s="7" t="inlineStr">
        <is>
          <t>T-109</t>
        </is>
      </c>
      <c r="B110" s="7" t="inlineStr">
        <is>
          <t>Performance</t>
        </is>
      </c>
      <c r="C110" s="7" t="inlineStr">
        <is>
          <t>REQ-PRF-04</t>
        </is>
      </c>
      <c r="D110" s="7" t="inlineStr">
        <is>
          <t>Scan 10k fichiers récursif</t>
        </is>
      </c>
      <c r="E110" s="7" t="inlineStr">
        <is>
          <t>list_files recursive sur 10k</t>
        </is>
      </c>
      <c r="F110" s="7" t="inlineStr">
        <is>
          <t>Manuel</t>
        </is>
      </c>
      <c r="G110" s="7" t="inlineStr">
        <is>
          <t>T-001 OK</t>
        </is>
      </c>
      <c r="H110" s="7" t="inlineStr">
        <is>
          <t>input_10k/</t>
        </is>
      </c>
      <c r="I110" s="7" t="inlineStr">
        <is>
          <t>&lt; 5 s pour le scan (avant org)</t>
        </is>
      </c>
      <c r="J110" s="7" t="inlineStr"/>
      <c r="K110" s="7" t="inlineStr">
        <is>
          <t>À faire</t>
        </is>
      </c>
      <c r="L110" s="7" t="inlineStr">
        <is>
          <t>Mineur</t>
        </is>
      </c>
      <c r="M110" s="7" t="inlineStr"/>
      <c r="N110" s="7" t="inlineStr"/>
      <c r="O110" s="7" t="inlineStr"/>
    </row>
    <row r="111">
      <c r="A111" s="7" t="inlineStr">
        <is>
          <t>T-110</t>
        </is>
      </c>
      <c r="B111" s="7" t="inlineStr">
        <is>
          <t>Performance</t>
        </is>
      </c>
      <c r="C111" s="7" t="inlineStr">
        <is>
          <t>REQ-PRF-05</t>
        </is>
      </c>
      <c r="D111" s="7" t="inlineStr">
        <is>
          <t>Empreinte mode rapide sur 100 Mo</t>
        </is>
      </c>
      <c r="E111" s="7" t="inlineStr">
        <is>
          <t>Doublons en mode rapide activé, RAW de 100 Mo</t>
        </is>
      </c>
      <c r="F111" s="7" t="inlineStr">
        <is>
          <t>Manuel</t>
        </is>
      </c>
      <c r="G111" s="7" t="inlineStr">
        <is>
          <t>T-001 OK</t>
        </is>
      </c>
      <c r="H111" s="7" t="inlineStr">
        <is>
          <t>input_raw_100mb/</t>
        </is>
      </c>
      <c r="I111" s="7" t="inlineStr">
        <is>
          <t>&lt; 1 s par fichier (empreinte début + fin uniquement)</t>
        </is>
      </c>
      <c r="J111" s="7" t="inlineStr"/>
      <c r="K111" s="7" t="inlineStr">
        <is>
          <t>À faire</t>
        </is>
      </c>
      <c r="L111" s="7" t="inlineStr">
        <is>
          <t>Mineur</t>
        </is>
      </c>
      <c r="M111" s="7" t="inlineStr"/>
      <c r="N111" s="7" t="inlineStr"/>
      <c r="O111" s="7" t="inlineStr"/>
    </row>
    <row r="112">
      <c r="A112" s="7" t="inlineStr">
        <is>
          <t>T-111</t>
        </is>
      </c>
      <c r="B112" s="7" t="inlineStr">
        <is>
          <t>Performance</t>
        </is>
      </c>
      <c r="C112" s="7" t="inlineStr">
        <is>
          <t>REQ-PRF-06</t>
        </is>
      </c>
      <c r="D112" s="7" t="inlineStr">
        <is>
          <t>UI réactive pendant scan</t>
        </is>
      </c>
      <c r="E112" s="7" t="inlineStr">
        <is>
          <t>Cliquer Annuler pendant scan en cours</t>
        </is>
      </c>
      <c r="F112" s="7" t="inlineStr">
        <is>
          <t>Manuel</t>
        </is>
      </c>
      <c r="G112" s="7" t="inlineStr">
        <is>
          <t>T-001 OK</t>
        </is>
      </c>
      <c r="H112" s="7" t="inlineStr">
        <is>
          <t>input_volumineux/</t>
        </is>
      </c>
      <c r="I112" s="7" t="inlineStr">
        <is>
          <t>Annulation propagée &lt; 2 s</t>
        </is>
      </c>
      <c r="J112" s="7" t="inlineStr"/>
      <c r="K112" s="7" t="inlineStr">
        <is>
          <t>À faire</t>
        </is>
      </c>
      <c r="L112" s="7" t="inlineStr">
        <is>
          <t>Majeur</t>
        </is>
      </c>
      <c r="M112" s="7" t="inlineStr"/>
      <c r="N112" s="7" t="inlineStr"/>
      <c r="O112" s="7" t="inlineStr"/>
    </row>
    <row r="113">
      <c r="A113" s="7" t="inlineStr">
        <is>
          <t>T-112</t>
        </is>
      </c>
      <c r="B113" s="7" t="inlineStr">
        <is>
          <t>Performance</t>
        </is>
      </c>
      <c r="C113" s="7" t="inlineStr">
        <is>
          <t>REQ-PRF-07</t>
        </is>
      </c>
      <c r="D113" s="7" t="inlineStr">
        <is>
          <t>RAM repos &lt; 200 MB</t>
        </is>
      </c>
      <c r="E113" s="7" t="inlineStr">
        <is>
          <t>App ouverte, aucun scan</t>
        </is>
      </c>
      <c r="F113" s="7" t="inlineStr">
        <is>
          <t>Manuel</t>
        </is>
      </c>
      <c r="G113" s="7" t="inlineStr">
        <is>
          <t>EXE release</t>
        </is>
      </c>
      <c r="H113" s="7" t="inlineStr">
        <is>
          <t>—</t>
        </is>
      </c>
      <c r="I113" s="7" t="inlineStr">
        <is>
          <t>Process Python sub-MEI : RAM &lt; 200 MB</t>
        </is>
      </c>
      <c r="J113" s="7" t="inlineStr"/>
      <c r="K113" s="7" t="inlineStr">
        <is>
          <t>À faire</t>
        </is>
      </c>
      <c r="L113" s="7" t="inlineStr">
        <is>
          <t>Mineur</t>
        </is>
      </c>
      <c r="M113" s="7" t="inlineStr"/>
      <c r="N113" s="7" t="inlineStr"/>
      <c r="O113" s="7" t="inlineStr"/>
    </row>
    <row r="114">
      <c r="A114" s="7" t="inlineStr">
        <is>
          <t>T-113</t>
        </is>
      </c>
      <c r="B114" s="7" t="inlineStr">
        <is>
          <t>Performance</t>
        </is>
      </c>
      <c r="C114" s="7" t="inlineStr">
        <is>
          <t>REQ-PRF-08</t>
        </is>
      </c>
      <c r="D114" s="7" t="inlineStr">
        <is>
          <t>RAM pic 1000 photos</t>
        </is>
      </c>
      <c r="E114" s="7" t="inlineStr">
        <is>
          <t>Organisation 1000 photos</t>
        </is>
      </c>
      <c r="F114" s="7" t="inlineStr">
        <is>
          <t>Manuel</t>
        </is>
      </c>
      <c r="G114" s="7" t="inlineStr">
        <is>
          <t>T-001 OK</t>
        </is>
      </c>
      <c r="H114" s="7" t="inlineStr">
        <is>
          <t>input_volumineux/</t>
        </is>
      </c>
      <c r="I114" s="7" t="inlineStr">
        <is>
          <t>RAM pic &lt; 500 MB</t>
        </is>
      </c>
      <c r="J114" s="7" t="inlineStr"/>
      <c r="K114" s="7" t="inlineStr">
        <is>
          <t>À faire</t>
        </is>
      </c>
      <c r="L114" s="7" t="inlineStr">
        <is>
          <t>Mineur</t>
        </is>
      </c>
      <c r="M114" s="7" t="inlineStr"/>
      <c r="N114" s="7" t="inlineStr"/>
      <c r="O114" s="7" t="inlineStr"/>
    </row>
    <row r="115">
      <c r="A115" s="7" t="inlineStr">
        <is>
          <t>T-114</t>
        </is>
      </c>
      <c r="B115" s="7" t="inlineStr">
        <is>
          <t>Performance</t>
        </is>
      </c>
      <c r="C115" s="7" t="inlineStr">
        <is>
          <t>REQ-PRF-09</t>
        </is>
      </c>
      <c r="D115" s="7" t="inlineStr">
        <is>
          <t>Cache hit rate</t>
        </is>
      </c>
      <c r="E115" s="7" t="inlineStr">
        <is>
          <t>Re-scan après cache plein</t>
        </is>
      </c>
      <c r="F115" s="7" t="inlineStr">
        <is>
          <t>Auto</t>
        </is>
      </c>
      <c r="G115" s="7" t="inlineStr">
        <is>
          <t>Cache enabled</t>
        </is>
      </c>
      <c r="H115" s="7" t="inlineStr">
        <is>
          <t>input_nominal/</t>
        </is>
      </c>
      <c r="I115" s="7" t="inlineStr">
        <is>
          <t>Hit rate &gt; 95% sur 2e scan</t>
        </is>
      </c>
      <c r="J115" s="7" t="inlineStr">
        <is>
          <t>pytest vert (campagne 217 passed)</t>
        </is>
      </c>
      <c r="K115" s="7" t="inlineStr">
        <is>
          <t>OK</t>
        </is>
      </c>
      <c r="L115" s="7" t="inlineStr">
        <is>
          <t>Mineur</t>
        </is>
      </c>
      <c r="M115" s="7" t="inlineStr">
        <is>
          <t>Claude (campagne auto)</t>
        </is>
      </c>
      <c r="N115" s="7" t="inlineStr">
        <is>
          <t>2026-06-12</t>
        </is>
      </c>
      <c r="O115" s="7" t="inlineStr"/>
    </row>
    <row r="116">
      <c r="A116" s="7" t="inlineStr">
        <is>
          <t>T-115</t>
        </is>
      </c>
      <c r="B116" s="7" t="inlineStr">
        <is>
          <t>Performance</t>
        </is>
      </c>
      <c r="C116" s="7" t="inlineStr">
        <is>
          <t>REQ-PRF-10</t>
        </is>
      </c>
      <c r="D116" s="7" t="inlineStr">
        <is>
          <t>Benchmark list_files pytest</t>
        </is>
      </c>
      <c r="E116" s="7" t="inlineStr">
        <is>
          <t>pytest tests/perf/test_perf.py</t>
        </is>
      </c>
      <c r="F116" s="7" t="inlineStr">
        <is>
          <t>Manuel</t>
        </is>
      </c>
      <c r="G116" s="7" t="inlineStr">
        <is>
          <t>Tests OK</t>
        </is>
      </c>
      <c r="H116" s="7" t="inlineStr">
        <is>
          <t>1000 fichiers générés</t>
        </is>
      </c>
      <c r="I116" s="7" t="inlineStr">
        <is>
          <t>Médiane &lt; 150 ms (cf. perf baseline)</t>
        </is>
      </c>
      <c r="J116" s="7" t="inlineStr"/>
      <c r="K116" s="7" t="inlineStr">
        <is>
          <t>À faire</t>
        </is>
      </c>
      <c r="L116" s="7" t="inlineStr">
        <is>
          <t>Mineur</t>
        </is>
      </c>
      <c r="M116" s="7" t="inlineStr"/>
      <c r="N116" s="7" t="inlineStr"/>
      <c r="O116" s="7" t="inlineStr"/>
    </row>
    <row r="117">
      <c r="A117" s="8" t="inlineStr">
        <is>
          <t>T-116</t>
        </is>
      </c>
      <c r="B117" s="8" t="inlineStr">
        <is>
          <t>Robustesse</t>
        </is>
      </c>
      <c r="C117" s="8" t="inlineStr">
        <is>
          <t>REQ-ROB-01</t>
        </is>
      </c>
      <c r="D117" s="8" t="inlineStr">
        <is>
          <t>Cliquer Annuler 100× sans op</t>
        </is>
      </c>
      <c r="E117" s="8" t="inlineStr">
        <is>
          <t>Spam le bouton Annuler</t>
        </is>
      </c>
      <c r="F117" s="8" t="inlineStr">
        <is>
          <t>Manuel</t>
        </is>
      </c>
      <c r="G117" s="8" t="inlineStr">
        <is>
          <t>T-001 OK</t>
        </is>
      </c>
      <c r="H117" s="8" t="inlineStr">
        <is>
          <t>—</t>
        </is>
      </c>
      <c r="I117" s="8" t="inlineStr">
        <is>
          <t>Pas de NPE, état stable, pas de fuite</t>
        </is>
      </c>
      <c r="J117" s="8" t="inlineStr"/>
      <c r="K117" s="8" t="inlineStr">
        <is>
          <t>À faire</t>
        </is>
      </c>
      <c r="L117" s="8" t="inlineStr">
        <is>
          <t>Majeur</t>
        </is>
      </c>
      <c r="M117" s="8" t="inlineStr"/>
      <c r="N117" s="8" t="inlineStr"/>
      <c r="O117" s="8" t="inlineStr"/>
    </row>
    <row r="118">
      <c r="A118" s="8" t="inlineStr">
        <is>
          <t>T-117</t>
        </is>
      </c>
      <c r="B118" s="8" t="inlineStr">
        <is>
          <t>Robustesse</t>
        </is>
      </c>
      <c r="C118" s="8" t="inlineStr">
        <is>
          <t>REQ-ROB-02</t>
        </is>
      </c>
      <c r="D118" s="8" t="inlineStr">
        <is>
          <t>Double-clic Organiser</t>
        </is>
      </c>
      <c r="E118" s="8" t="inlineStr">
        <is>
          <t>Double-clic rapide sur 🚀 Organiser</t>
        </is>
      </c>
      <c r="F118" s="8" t="inlineStr">
        <is>
          <t>Manuel</t>
        </is>
      </c>
      <c r="G118" s="8" t="inlineStr">
        <is>
          <t>T-001 OK</t>
        </is>
      </c>
      <c r="H118" s="8" t="inlineStr">
        <is>
          <t>input_nominal/</t>
        </is>
      </c>
      <c r="I118" s="8" t="inlineStr">
        <is>
          <t>Une seule exécution lancée</t>
        </is>
      </c>
      <c r="J118" s="8" t="inlineStr"/>
      <c r="K118" s="8" t="inlineStr">
        <is>
          <t>À faire</t>
        </is>
      </c>
      <c r="L118" s="8" t="inlineStr">
        <is>
          <t>Majeur</t>
        </is>
      </c>
      <c r="M118" s="8" t="inlineStr"/>
      <c r="N118" s="8" t="inlineStr"/>
      <c r="O118" s="8" t="inlineStr"/>
    </row>
    <row r="119">
      <c r="A119" s="8" t="inlineStr">
        <is>
          <t>T-118</t>
        </is>
      </c>
      <c r="B119" s="8" t="inlineStr">
        <is>
          <t>Robustesse</t>
        </is>
      </c>
      <c r="C119" s="8" t="inlineStr">
        <is>
          <t>REQ-ROB-03</t>
        </is>
      </c>
      <c r="D119" s="8" t="inlineStr">
        <is>
          <t>Fermeture pendant op</t>
        </is>
      </c>
      <c r="E119" s="8" t="inlineStr">
        <is>
          <t>Alt+F4 pendant scan</t>
        </is>
      </c>
      <c r="F119" s="8" t="inlineStr">
        <is>
          <t>Manuel</t>
        </is>
      </c>
      <c r="G119" s="8" t="inlineStr">
        <is>
          <t>T-001 OK</t>
        </is>
      </c>
      <c r="H119" s="8" t="inlineStr">
        <is>
          <t>input_volumineux/</t>
        </is>
      </c>
      <c r="I119" s="8" t="inlineStr">
        <is>
          <t>Cleanup propre, aucun fichier verrouillé</t>
        </is>
      </c>
      <c r="J119" s="8" t="inlineStr"/>
      <c r="K119" s="8" t="inlineStr">
        <is>
          <t>À faire</t>
        </is>
      </c>
      <c r="L119" s="8" t="inlineStr">
        <is>
          <t>Majeur</t>
        </is>
      </c>
      <c r="M119" s="8" t="inlineStr"/>
      <c r="N119" s="8" t="inlineStr"/>
      <c r="O119" s="8" t="inlineStr"/>
    </row>
    <row r="120">
      <c r="A120" s="8" t="inlineStr">
        <is>
          <t>T-119</t>
        </is>
      </c>
      <c r="B120" s="8" t="inlineStr">
        <is>
          <t>Robustesse</t>
        </is>
      </c>
      <c r="C120" s="8" t="inlineStr">
        <is>
          <t>REQ-ROB-04</t>
        </is>
      </c>
      <c r="D120" s="8" t="inlineStr">
        <is>
          <t>Source supprimée pendant op</t>
        </is>
      </c>
      <c r="E120" s="8" t="inlineStr">
        <is>
          <t>Supprimer source dans Explorer</t>
        </is>
      </c>
      <c r="F120" s="8" t="inlineStr">
        <is>
          <t>Manuel</t>
        </is>
      </c>
      <c r="G120" s="8" t="inlineStr">
        <is>
          <t>T-001 OK</t>
        </is>
      </c>
      <c r="H120" s="8" t="inlineStr">
        <is>
          <t>input_nominal/</t>
        </is>
      </c>
      <c r="I120" s="8" t="inlineStr">
        <is>
          <t>Erreurs catchées par fichier, total cohérent</t>
        </is>
      </c>
      <c r="J120" s="8" t="inlineStr"/>
      <c r="K120" s="8" t="inlineStr">
        <is>
          <t>À faire</t>
        </is>
      </c>
      <c r="L120" s="8" t="inlineStr">
        <is>
          <t>Majeur</t>
        </is>
      </c>
      <c r="M120" s="8" t="inlineStr"/>
      <c r="N120" s="8" t="inlineStr"/>
      <c r="O120" s="8" t="inlineStr"/>
    </row>
    <row r="121">
      <c r="A121" s="8" t="inlineStr">
        <is>
          <t>T-120</t>
        </is>
      </c>
      <c r="B121" s="8" t="inlineStr">
        <is>
          <t>Robustesse</t>
        </is>
      </c>
      <c r="C121" s="8" t="inlineStr">
        <is>
          <t>REQ-ROB-05</t>
        </is>
      </c>
      <c r="D121" s="8" t="inlineStr">
        <is>
          <t>Bouton Avancé — clics répétés 50×</t>
        </is>
      </c>
      <c r="E121" s="8" t="inlineStr">
        <is>
          <t>Cliquer le bouton 50 fois rapidement</t>
        </is>
      </c>
      <c r="F121" s="8" t="inlineStr">
        <is>
          <t>Manuel</t>
        </is>
      </c>
      <c r="G121" s="8" t="inlineStr">
        <is>
          <t>T-001 OK</t>
        </is>
      </c>
      <c r="H121" s="8" t="inlineStr">
        <is>
          <t>—</t>
        </is>
      </c>
      <c r="I121" s="8" t="inlineStr">
        <is>
          <t>Pas de fuite mémoire, état final stable</t>
        </is>
      </c>
      <c r="J121" s="8" t="inlineStr"/>
      <c r="K121" s="8" t="inlineStr">
        <is>
          <t>À faire</t>
        </is>
      </c>
      <c r="L121" s="8" t="inlineStr">
        <is>
          <t>Mineur</t>
        </is>
      </c>
      <c r="M121" s="8" t="inlineStr"/>
      <c r="N121" s="8" t="inlineStr"/>
      <c r="O121" s="8" t="inlineStr"/>
    </row>
    <row r="122">
      <c r="A122" s="8" t="inlineStr">
        <is>
          <t>T-121</t>
        </is>
      </c>
      <c r="B122" s="8" t="inlineStr">
        <is>
          <t>Robustesse</t>
        </is>
      </c>
      <c r="C122" s="8" t="inlineStr">
        <is>
          <t>REQ-ROB-06</t>
        </is>
      </c>
      <c r="D122" s="8" t="inlineStr">
        <is>
          <t>Hors-ligne géocodage</t>
        </is>
      </c>
      <c r="E122" s="8" t="inlineStr">
        <is>
          <t>Internet OFF + GPS + géocodage</t>
        </is>
      </c>
      <c r="F122" s="8" t="inlineStr">
        <is>
          <t>Manuel</t>
        </is>
      </c>
      <c r="G122" s="8" t="inlineStr">
        <is>
          <t>T-001 OK</t>
        </is>
      </c>
      <c r="H122" s="8" t="inlineStr">
        <is>
          <t>input_gps_piexif/</t>
        </is>
      </c>
      <c r="I122" s="8" t="inlineStr">
        <is>
          <t>Fallback Lat_x_Lon_y, log debug</t>
        </is>
      </c>
      <c r="J122" s="8" t="inlineStr"/>
      <c r="K122" s="8" t="inlineStr">
        <is>
          <t>À faire</t>
        </is>
      </c>
      <c r="L122" s="8" t="inlineStr">
        <is>
          <t>Majeur</t>
        </is>
      </c>
      <c r="M122" s="8" t="inlineStr"/>
      <c r="N122" s="8" t="inlineStr"/>
      <c r="O122" s="8" t="inlineStr"/>
    </row>
    <row r="123">
      <c r="A123" s="8" t="inlineStr">
        <is>
          <t>T-122</t>
        </is>
      </c>
      <c r="B123" s="8" t="inlineStr">
        <is>
          <t>Robustesse</t>
        </is>
      </c>
      <c r="C123" s="8" t="inlineStr">
        <is>
          <t>REQ-ROB-07</t>
        </is>
      </c>
      <c r="D123" s="8" t="inlineStr">
        <is>
          <t>Preset YAML corrompu</t>
        </is>
      </c>
      <c r="E123" s="8" t="inlineStr">
        <is>
          <t>Charger preset YAML invalide</t>
        </is>
      </c>
      <c r="F123" s="8" t="inlineStr">
        <is>
          <t>Manuel</t>
        </is>
      </c>
      <c r="G123" s="8" t="inlineStr">
        <is>
          <t>T-001 OK</t>
        </is>
      </c>
      <c r="H123" s="8" t="inlineStr">
        <is>
          <t>preset_corrompu.yaml</t>
        </is>
      </c>
      <c r="I123" s="8" t="inlineStr">
        <is>
          <t>Messagebox erreur, app continue</t>
        </is>
      </c>
      <c r="J123" s="8" t="inlineStr"/>
      <c r="K123" s="8" t="inlineStr">
        <is>
          <t>À faire</t>
        </is>
      </c>
      <c r="L123" s="8" t="inlineStr">
        <is>
          <t>Mineur</t>
        </is>
      </c>
      <c r="M123" s="8" t="inlineStr"/>
      <c r="N123" s="8" t="inlineStr"/>
      <c r="O123" s="8" t="inlineStr"/>
    </row>
    <row r="124">
      <c r="A124" s="8" t="inlineStr">
        <is>
          <t>T-123</t>
        </is>
      </c>
      <c r="B124" s="8" t="inlineStr">
        <is>
          <t>Robustesse</t>
        </is>
      </c>
      <c r="C124" s="8" t="inlineStr">
        <is>
          <t>REQ-ROB-08</t>
        </is>
      </c>
      <c r="D124" s="8" t="inlineStr">
        <is>
          <t>Cache SQLite corrompu</t>
        </is>
      </c>
      <c r="E124" s="8" t="inlineStr">
        <is>
          <t>Modifier manuellement le .db</t>
        </is>
      </c>
      <c r="F124" s="8" t="inlineStr">
        <is>
          <t>Manuel</t>
        </is>
      </c>
      <c r="G124" s="8" t="inlineStr">
        <is>
          <t>Cache enabled</t>
        </is>
      </c>
      <c r="H124" s="8" t="inlineStr">
        <is>
          <t>Cache corrompu</t>
        </is>
      </c>
      <c r="I124" s="8" t="inlineStr">
        <is>
          <t>Cache recréé silencieusement</t>
        </is>
      </c>
      <c r="J124" s="8" t="inlineStr"/>
      <c r="K124" s="8" t="inlineStr">
        <is>
          <t>À faire</t>
        </is>
      </c>
      <c r="L124" s="8" t="inlineStr">
        <is>
          <t>Mineur</t>
        </is>
      </c>
      <c r="M124" s="8" t="inlineStr"/>
      <c r="N124" s="8" t="inlineStr"/>
      <c r="O124" s="8" t="inlineStr"/>
    </row>
    <row r="125">
      <c r="A125" s="8" t="inlineStr">
        <is>
          <t>T-124</t>
        </is>
      </c>
      <c r="B125" s="8" t="inlineStr">
        <is>
          <t>Robustesse</t>
        </is>
      </c>
      <c r="C125" s="8" t="inlineStr">
        <is>
          <t>REQ-ROB-09</t>
        </is>
      </c>
      <c r="D125" s="8" t="inlineStr">
        <is>
          <t>Drag &amp; drop fichier (pas dossier)</t>
        </is>
      </c>
      <c r="E125" s="8" t="inlineStr">
        <is>
          <t>Glisser .jpg sur Source</t>
        </is>
      </c>
      <c r="F125" s="8" t="inlineStr">
        <is>
          <t>Manuel</t>
        </is>
      </c>
      <c r="G125" s="8" t="inlineStr">
        <is>
          <t>tkinterdnd2 OK</t>
        </is>
      </c>
      <c r="H125" s="8" t="inlineStr">
        <is>
          <t>—</t>
        </is>
      </c>
      <c r="I125" s="8" t="inlineStr">
        <is>
          <t>Refus silencieux</t>
        </is>
      </c>
      <c r="J125" s="8" t="inlineStr"/>
      <c r="K125" s="8" t="inlineStr">
        <is>
          <t>À faire</t>
        </is>
      </c>
      <c r="L125" s="8" t="inlineStr">
        <is>
          <t>Mineur</t>
        </is>
      </c>
      <c r="M125" s="8" t="inlineStr"/>
      <c r="N125" s="8" t="inlineStr"/>
      <c r="O125" s="8" t="inlineStr"/>
    </row>
    <row r="126">
      <c r="A126" s="8" t="inlineStr">
        <is>
          <t>T-125</t>
        </is>
      </c>
      <c r="B126" s="8" t="inlineStr">
        <is>
          <t>Robustesse</t>
        </is>
      </c>
      <c r="C126" s="8" t="inlineStr">
        <is>
          <t>REQ-ROB-10</t>
        </is>
      </c>
      <c r="D126" s="8" t="inlineStr">
        <is>
          <t>Drag &amp; drop multi-fichiers</t>
        </is>
      </c>
      <c r="E126" s="8" t="inlineStr">
        <is>
          <t>Glisser 2 dossiers d'un coup</t>
        </is>
      </c>
      <c r="F126" s="8" t="inlineStr">
        <is>
          <t>Manuel</t>
        </is>
      </c>
      <c r="G126" s="8" t="inlineStr">
        <is>
          <t>tkinterdnd2 OK</t>
        </is>
      </c>
      <c r="H126" s="8" t="inlineStr">
        <is>
          <t>input_nominal/ + input_pairs/</t>
        </is>
      </c>
      <c r="I126" s="8" t="inlineStr">
        <is>
          <t>Champ Source rempli avec p1;p2</t>
        </is>
      </c>
      <c r="J126" s="8" t="inlineStr"/>
      <c r="K126" s="8" t="inlineStr">
        <is>
          <t>À faire</t>
        </is>
      </c>
      <c r="L126" s="8" t="inlineStr">
        <is>
          <t>Mineur</t>
        </is>
      </c>
      <c r="M126" s="8" t="inlineStr"/>
      <c r="N126" s="8" t="inlineStr"/>
      <c r="O126" s="8" t="inlineStr"/>
    </row>
    <row r="127">
      <c r="A127" s="8" t="inlineStr">
        <is>
          <t>T-126</t>
        </is>
      </c>
      <c r="B127" s="8" t="inlineStr">
        <is>
          <t>Robustesse</t>
        </is>
      </c>
      <c r="C127" s="8" t="inlineStr">
        <is>
          <t>REQ-ROB-11</t>
        </is>
      </c>
      <c r="D127" s="8" t="inlineStr">
        <is>
          <t>Très long template</t>
        </is>
      </c>
      <c r="E127" s="8" t="inlineStr">
        <is>
          <t>Saisir template de 200 chars</t>
        </is>
      </c>
      <c r="F127" s="8" t="inlineStr">
        <is>
          <t>Manuel</t>
        </is>
      </c>
      <c r="G127" s="8" t="inlineStr">
        <is>
          <t>T-001 OK</t>
        </is>
      </c>
      <c r="H127" s="8" t="inlineStr">
        <is>
          <t>input_nominal/</t>
        </is>
      </c>
      <c r="I127" s="8" t="inlineStr">
        <is>
          <t>Template tronqué ou rendu sans crash, fichiers OK</t>
        </is>
      </c>
      <c r="J127" s="8" t="inlineStr"/>
      <c r="K127" s="8" t="inlineStr">
        <is>
          <t>À faire</t>
        </is>
      </c>
      <c r="L127" s="8" t="inlineStr">
        <is>
          <t>Mineur</t>
        </is>
      </c>
      <c r="M127" s="8" t="inlineStr"/>
      <c r="N127" s="8" t="inlineStr"/>
      <c r="O127" s="8" t="inlineStr"/>
    </row>
    <row r="128">
      <c r="A128" s="8" t="inlineStr">
        <is>
          <t>T-127</t>
        </is>
      </c>
      <c r="B128" s="8" t="inlineStr">
        <is>
          <t>Robustesse</t>
        </is>
      </c>
      <c r="C128" s="8" t="inlineStr">
        <is>
          <t>REQ-ROB-12</t>
        </is>
      </c>
      <c r="D128" s="8" t="inlineStr">
        <is>
          <t>Caractères interdits filename</t>
        </is>
      </c>
      <c r="E128" s="8" t="inlineStr">
        <is>
          <t>Photo dest contiendrait '/' ou ':'</t>
        </is>
      </c>
      <c r="F128" s="8" t="inlineStr">
        <is>
          <t>Manuel</t>
        </is>
      </c>
      <c r="G128" s="8" t="inlineStr">
        <is>
          <t>T-001 OK</t>
        </is>
      </c>
      <c r="H128" s="8" t="inlineStr">
        <is>
          <t>input_nominal/</t>
        </is>
      </c>
      <c r="I128" s="8" t="inlineStr">
        <is>
          <t>Sanitization auto (remplacement _)</t>
        </is>
      </c>
      <c r="J128" s="8" t="inlineStr"/>
      <c r="K128" s="8" t="inlineStr">
        <is>
          <t>À faire</t>
        </is>
      </c>
      <c r="L128" s="8" t="inlineStr">
        <is>
          <t>Majeur</t>
        </is>
      </c>
      <c r="M128" s="8" t="inlineStr"/>
      <c r="N128" s="8" t="inlineStr"/>
      <c r="O128" s="8" t="inlineStr"/>
    </row>
    <row r="129">
      <c r="A129" s="8" t="inlineStr">
        <is>
          <t>T-128</t>
        </is>
      </c>
      <c r="B129" s="8" t="inlineStr">
        <is>
          <t>Robustesse</t>
        </is>
      </c>
      <c r="C129" s="8" t="inlineStr">
        <is>
          <t>REQ-ROB-13</t>
        </is>
      </c>
      <c r="D129" s="8" t="inlineStr">
        <is>
          <t>Schedule heure passée</t>
        </is>
      </c>
      <c r="E129" s="8" t="inlineStr">
        <is>
          <t>Activer schedule à HH:MM déjà dépassé</t>
        </is>
      </c>
      <c r="F129" s="8" t="inlineStr">
        <is>
          <t>Manuel</t>
        </is>
      </c>
      <c r="G129" s="8" t="inlineStr">
        <is>
          <t>T-001 OK</t>
        </is>
      </c>
      <c r="H129" s="8" t="inlineStr">
        <is>
          <t>—</t>
        </is>
      </c>
      <c r="I129" s="8" t="inlineStr">
        <is>
          <t>Status 'Prochaine exécution : demain HH:MM'</t>
        </is>
      </c>
      <c r="J129" s="8" t="inlineStr"/>
      <c r="K129" s="8" t="inlineStr">
        <is>
          <t>À faire</t>
        </is>
      </c>
      <c r="L129" s="8" t="inlineStr">
        <is>
          <t>Mineur</t>
        </is>
      </c>
      <c r="M129" s="8" t="inlineStr"/>
      <c r="N129" s="8" t="inlineStr"/>
      <c r="O129" s="8" t="inlineStr"/>
    </row>
    <row r="130">
      <c r="A130" s="8" t="inlineStr">
        <is>
          <t>T-129</t>
        </is>
      </c>
      <c r="B130" s="8" t="inlineStr">
        <is>
          <t>Robustesse</t>
        </is>
      </c>
      <c r="C130" s="8" t="inlineStr">
        <is>
          <t>REQ-ROB-14</t>
        </is>
      </c>
      <c r="D130" s="8" t="inlineStr">
        <is>
          <t>Schedule modifié pendant active</t>
        </is>
      </c>
      <c r="E130" s="8" t="inlineStr">
        <is>
          <t>Heure 23:00 → modifier à 14:00 en marche</t>
        </is>
      </c>
      <c r="F130" s="8" t="inlineStr">
        <is>
          <t>Manuel</t>
        </is>
      </c>
      <c r="G130" s="8" t="inlineStr">
        <is>
          <t>T-001 OK + schedule actif</t>
        </is>
      </c>
      <c r="H130" s="8" t="inlineStr">
        <is>
          <t>—</t>
        </is>
      </c>
      <c r="I130" s="8" t="inlineStr">
        <is>
          <t>_on_schedule_time_change reconfigure proprement</t>
        </is>
      </c>
      <c r="J130" s="8" t="inlineStr"/>
      <c r="K130" s="8" t="inlineStr">
        <is>
          <t>À faire</t>
        </is>
      </c>
      <c r="L130" s="8" t="inlineStr">
        <is>
          <t>Mineur</t>
        </is>
      </c>
      <c r="M130" s="8" t="inlineStr"/>
      <c r="N130" s="8" t="inlineStr"/>
      <c r="O130" s="8" t="inlineStr"/>
    </row>
    <row r="131">
      <c r="A131" s="8" t="inlineStr">
        <is>
          <t>T-130</t>
        </is>
      </c>
      <c r="B131" s="8" t="inlineStr">
        <is>
          <t>Robustesse</t>
        </is>
      </c>
      <c r="C131" s="8" t="inlineStr">
        <is>
          <t>REQ-ROB-15</t>
        </is>
      </c>
      <c r="D131" s="8" t="inlineStr">
        <is>
          <t>Onglet changé pendant scan</t>
        </is>
      </c>
      <c r="E131" s="8" t="inlineStr">
        <is>
          <t>Lancer scan, switch sur autre onglet</t>
        </is>
      </c>
      <c r="F131" s="8" t="inlineStr">
        <is>
          <t>Manuel</t>
        </is>
      </c>
      <c r="G131" s="8" t="inlineStr">
        <is>
          <t>T-001 OK</t>
        </is>
      </c>
      <c r="H131" s="8" t="inlineStr">
        <is>
          <t>input_nominal/</t>
        </is>
      </c>
      <c r="I131" s="8" t="inlineStr">
        <is>
          <t>Scan continue, progress affichée dans status bar globale</t>
        </is>
      </c>
      <c r="J131" s="8" t="inlineStr"/>
      <c r="K131" s="8" t="inlineStr">
        <is>
          <t>À faire</t>
        </is>
      </c>
      <c r="L131" s="8" t="inlineStr">
        <is>
          <t>Majeur</t>
        </is>
      </c>
      <c r="M131" s="8" t="inlineStr"/>
      <c r="N131" s="8" t="inlineStr"/>
      <c r="O131" s="8" t="inlineStr"/>
    </row>
    <row r="132">
      <c r="A132" s="8" t="inlineStr">
        <is>
          <t>T-131</t>
        </is>
      </c>
      <c r="B132" s="8" t="inlineStr">
        <is>
          <t>Robustesse</t>
        </is>
      </c>
      <c r="C132" s="8" t="inlineStr">
        <is>
          <t>REQ-ROB-16</t>
        </is>
      </c>
      <c r="D132" s="8" t="inlineStr">
        <is>
          <t>Window resize pendant scan</t>
        </is>
      </c>
      <c r="E132" s="8" t="inlineStr">
        <is>
          <t>Redimensionner pendant scan</t>
        </is>
      </c>
      <c r="F132" s="8" t="inlineStr">
        <is>
          <t>Manuel</t>
        </is>
      </c>
      <c r="G132" s="8" t="inlineStr">
        <is>
          <t>T-001 OK</t>
        </is>
      </c>
      <c r="H132" s="8" t="inlineStr">
        <is>
          <t>input_volumineux/</t>
        </is>
      </c>
      <c r="I132" s="8" t="inlineStr">
        <is>
          <t>Pas de freeze, layout adapté</t>
        </is>
      </c>
      <c r="J132" s="8" t="inlineStr"/>
      <c r="K132" s="8" t="inlineStr">
        <is>
          <t>À faire</t>
        </is>
      </c>
      <c r="L132" s="8" t="inlineStr">
        <is>
          <t>Mineur</t>
        </is>
      </c>
      <c r="M132" s="8" t="inlineStr"/>
      <c r="N132" s="8" t="inlineStr"/>
      <c r="O132" s="8" t="inlineStr"/>
    </row>
    <row r="133">
      <c r="A133" s="8" t="inlineStr">
        <is>
          <t>T-132</t>
        </is>
      </c>
      <c r="B133" s="8" t="inlineStr">
        <is>
          <t>Robustesse</t>
        </is>
      </c>
      <c r="C133" s="8" t="inlineStr">
        <is>
          <t>REQ-ROB-17</t>
        </is>
      </c>
      <c r="D133" s="8" t="inlineStr">
        <is>
          <t>Doublons quitter pendant scan</t>
        </is>
      </c>
      <c r="E133" s="8" t="inlineStr">
        <is>
          <t>Fermer app pendant scan doublons</t>
        </is>
      </c>
      <c r="F133" s="8" t="inlineStr">
        <is>
          <t>Manuel</t>
        </is>
      </c>
      <c r="G133" s="8" t="inlineStr">
        <is>
          <t>T-001 OK</t>
        </is>
      </c>
      <c r="H133" s="8" t="inlineStr">
        <is>
          <t>input_doublons/</t>
        </is>
      </c>
      <c r="I133" s="8" t="inlineStr">
        <is>
          <t>Cleanup, pas de processus orphelin</t>
        </is>
      </c>
      <c r="J133" s="8" t="inlineStr"/>
      <c r="K133" s="8" t="inlineStr">
        <is>
          <t>À faire</t>
        </is>
      </c>
      <c r="L133" s="8" t="inlineStr">
        <is>
          <t>Majeur</t>
        </is>
      </c>
      <c r="M133" s="8" t="inlineStr"/>
      <c r="N133" s="8" t="inlineStr"/>
      <c r="O133" s="8" t="inlineStr"/>
    </row>
    <row r="134">
      <c r="A134" s="8" t="inlineStr">
        <is>
          <t>T-133</t>
        </is>
      </c>
      <c r="B134" s="8" t="inlineStr">
        <is>
          <t>Robustesse</t>
        </is>
      </c>
      <c r="C134" s="8" t="inlineStr">
        <is>
          <t>REQ-ROB-18</t>
        </is>
      </c>
      <c r="D134" s="8" t="inlineStr">
        <is>
          <t>Tooltip après destruction widget</t>
        </is>
      </c>
      <c r="E134" s="8" t="inlineStr">
        <is>
          <t>Afficher tooltip puis détruire widget</t>
        </is>
      </c>
      <c r="F134" s="8" t="inlineStr">
        <is>
          <t>Manuel</t>
        </is>
      </c>
      <c r="G134" s="8" t="inlineStr">
        <is>
          <t>T-001 OK</t>
        </is>
      </c>
      <c r="H134" s="8" t="inlineStr">
        <is>
          <t>—</t>
        </is>
      </c>
      <c r="I134" s="8" t="inlineStr">
        <is>
          <t>Tooltip se ferme proprement, pas d'AttributeError</t>
        </is>
      </c>
      <c r="J134" s="8" t="inlineStr"/>
      <c r="K134" s="8" t="inlineStr">
        <is>
          <t>À faire</t>
        </is>
      </c>
      <c r="L134" s="8" t="inlineStr">
        <is>
          <t>Mineur</t>
        </is>
      </c>
      <c r="M134" s="8" t="inlineStr"/>
      <c r="N134" s="8" t="inlineStr"/>
      <c r="O134" s="8" t="inlineStr"/>
    </row>
    <row r="135">
      <c r="A135" s="8" t="inlineStr">
        <is>
          <t>T-134</t>
        </is>
      </c>
      <c r="B135" s="8" t="inlineStr">
        <is>
          <t>Robustesse</t>
        </is>
      </c>
      <c r="C135" s="8" t="inlineStr">
        <is>
          <t>REQ-ROB-19</t>
        </is>
      </c>
      <c r="D135" s="8" t="inlineStr">
        <is>
          <t>Logger encoding UTF-8</t>
        </is>
      </c>
      <c r="E135" s="8" t="inlineStr">
        <is>
          <t>Log message avec emojis</t>
        </is>
      </c>
      <c r="F135" s="8" t="inlineStr">
        <is>
          <t>Manuel</t>
        </is>
      </c>
      <c r="G135" s="8" t="inlineStr">
        <is>
          <t>T-001 OK</t>
        </is>
      </c>
      <c r="H135" s="8" t="inlineStr">
        <is>
          <t>—</t>
        </is>
      </c>
      <c r="I135" s="8" t="inlineStr">
        <is>
          <t>Fichier log sans corruption (utf-8 strict)</t>
        </is>
      </c>
      <c r="J135" s="8" t="inlineStr"/>
      <c r="K135" s="8" t="inlineStr">
        <is>
          <t>À faire</t>
        </is>
      </c>
      <c r="L135" s="8" t="inlineStr">
        <is>
          <t>Mineur</t>
        </is>
      </c>
      <c r="M135" s="8" t="inlineStr"/>
      <c r="N135" s="8" t="inlineStr"/>
      <c r="O135" s="8" t="inlineStr"/>
    </row>
    <row r="136">
      <c r="A136" s="8" t="inlineStr">
        <is>
          <t>T-135</t>
        </is>
      </c>
      <c r="B136" s="8" t="inlineStr">
        <is>
          <t>Robustesse</t>
        </is>
      </c>
      <c r="C136" s="8" t="inlineStr">
        <is>
          <t>REQ-ROB-20</t>
        </is>
      </c>
      <c r="D136" s="8" t="inlineStr">
        <is>
          <t>Plyer absent fallback</t>
        </is>
      </c>
      <c r="E136" s="8" t="inlineStr">
        <is>
          <t>Désinstaller plyer puis run</t>
        </is>
      </c>
      <c r="F136" s="8" t="inlineStr">
        <is>
          <t>Manuel</t>
        </is>
      </c>
      <c r="G136" s="8" t="inlineStr">
        <is>
          <t>T-001 OK</t>
        </is>
      </c>
      <c r="H136" s="8" t="inlineStr">
        <is>
          <t>—</t>
        </is>
      </c>
      <c r="I136" s="8" t="inlineStr">
        <is>
          <t>Toast remplacée par CTkToplevel auto-dismiss</t>
        </is>
      </c>
      <c r="J136" s="8" t="inlineStr"/>
      <c r="K136" s="8" t="inlineStr">
        <is>
          <t>À faire</t>
        </is>
      </c>
      <c r="L136" s="8" t="inlineStr">
        <is>
          <t>Mineur</t>
        </is>
      </c>
      <c r="M136" s="8" t="inlineStr"/>
      <c r="N136" s="8" t="inlineStr"/>
      <c r="O136" s="8" t="inlineStr"/>
    </row>
    <row r="137">
      <c r="A137" s="9" t="inlineStr">
        <is>
          <t>T-136</t>
        </is>
      </c>
      <c r="B137" s="9" t="inlineStr">
        <is>
          <t>Régression</t>
        </is>
      </c>
      <c r="C137" s="9" t="inlineStr">
        <is>
          <t>REQ-REG-01</t>
        </is>
      </c>
      <c r="D137" s="9" t="inlineStr">
        <is>
          <t>Burst detection vs ref</t>
        </is>
      </c>
      <c r="E137" s="9" t="inlineStr">
        <is>
          <t>F08 reproductibilité</t>
        </is>
      </c>
      <c r="F137" s="9" t="inlineStr">
        <is>
          <t>Manuel</t>
        </is>
      </c>
      <c r="G137" s="9" t="inlineStr">
        <is>
          <t>T-001 OK</t>
        </is>
      </c>
      <c r="H137" s="9" t="inlineStr">
        <is>
          <t>input_bursts/</t>
        </is>
      </c>
      <c r="I137" s="9" t="inlineStr">
        <is>
          <t>diff outputs_reels vs outputs_reference = 0</t>
        </is>
      </c>
      <c r="J137" s="9" t="inlineStr"/>
      <c r="K137" s="9" t="inlineStr">
        <is>
          <t>À faire</t>
        </is>
      </c>
      <c r="L137" s="9" t="inlineStr">
        <is>
          <t>Majeur</t>
        </is>
      </c>
      <c r="M137" s="9" t="inlineStr"/>
      <c r="N137" s="9" t="inlineStr"/>
      <c r="O137" s="9" t="inlineStr"/>
    </row>
    <row r="138">
      <c r="A138" s="9" t="inlineStr">
        <is>
          <t>T-137</t>
        </is>
      </c>
      <c r="B138" s="9" t="inlineStr">
        <is>
          <t>Régression</t>
        </is>
      </c>
      <c r="C138" s="9" t="inlineStr">
        <is>
          <t>REQ-REG-02</t>
        </is>
      </c>
      <c r="D138" s="9" t="inlineStr">
        <is>
          <t>Doublons DRY_RUN reproductible</t>
        </is>
      </c>
      <c r="E138" s="9" t="inlineStr">
        <is>
          <t>F22 même résultat 2 runs</t>
        </is>
      </c>
      <c r="F138" s="9" t="inlineStr">
        <is>
          <t>Manuel</t>
        </is>
      </c>
      <c r="G138" s="9" t="inlineStr">
        <is>
          <t>T-001 OK</t>
        </is>
      </c>
      <c r="H138" s="9" t="inlineStr">
        <is>
          <t>input_doublons/</t>
        </is>
      </c>
      <c r="I138" s="9" t="inlineStr">
        <is>
          <t>Mêmes groupes, mêmes décisions</t>
        </is>
      </c>
      <c r="J138" s="9" t="inlineStr"/>
      <c r="K138" s="9" t="inlineStr">
        <is>
          <t>À faire</t>
        </is>
      </c>
      <c r="L138" s="9" t="inlineStr">
        <is>
          <t>Majeur</t>
        </is>
      </c>
      <c r="M138" s="9" t="inlineStr"/>
      <c r="N138" s="9" t="inlineStr"/>
      <c r="O138" s="9" t="inlineStr"/>
    </row>
    <row r="139">
      <c r="A139" s="9" t="inlineStr">
        <is>
          <t>T-138</t>
        </is>
      </c>
      <c r="B139" s="9" t="inlineStr">
        <is>
          <t>Régression</t>
        </is>
      </c>
      <c r="C139" s="9" t="inlineStr">
        <is>
          <t>REQ-REG-03</t>
        </is>
      </c>
      <c r="D139" s="9" t="inlineStr">
        <is>
          <t>Invariant d'annulation</t>
        </is>
      </c>
      <c r="E139" s="9" t="inlineStr">
        <is>
          <t>Vérifier réussi+échoué+ignoré == total</t>
        </is>
      </c>
      <c r="F139" s="9" t="inlineStr">
        <is>
          <t>Manuel</t>
        </is>
      </c>
      <c r="G139" s="9" t="inlineStr">
        <is>
          <t>T-001 OK</t>
        </is>
      </c>
      <c r="H139" s="9" t="inlineStr">
        <is>
          <t>—</t>
        </is>
      </c>
      <c r="I139" s="9" t="inlineStr">
        <is>
          <t>Invariant arithmétique respecté</t>
        </is>
      </c>
      <c r="J139" s="9" t="inlineStr"/>
      <c r="K139" s="9" t="inlineStr">
        <is>
          <t>À faire</t>
        </is>
      </c>
      <c r="L139" s="9" t="inlineStr">
        <is>
          <t>Bloquant</t>
        </is>
      </c>
      <c r="M139" s="9" t="inlineStr"/>
      <c r="N139" s="9" t="inlineStr"/>
      <c r="O139" s="9" t="inlineStr"/>
    </row>
    <row r="140">
      <c r="A140" s="9" t="inlineStr">
        <is>
          <t>T-139</t>
        </is>
      </c>
      <c r="B140" s="9" t="inlineStr">
        <is>
          <t>Régression</t>
        </is>
      </c>
      <c r="C140" s="9" t="inlineStr">
        <is>
          <t>REQ-REG-04</t>
        </is>
      </c>
      <c r="D140" s="9" t="inlineStr">
        <is>
          <t>Scheduler trigger 1×/jour</t>
        </is>
      </c>
      <c r="E140" s="9" t="inlineStr">
        <is>
          <t>Trigger une fois, attendre 2 min même HH:MM</t>
        </is>
      </c>
      <c r="F140" s="9" t="inlineStr">
        <is>
          <t>Manuel</t>
        </is>
      </c>
      <c r="G140" s="9" t="inlineStr">
        <is>
          <t>T-001 OK</t>
        </is>
      </c>
      <c r="H140" s="9" t="inlineStr">
        <is>
          <t>—</t>
        </is>
      </c>
      <c r="I140" s="9" t="inlineStr">
        <is>
          <t>_last_run_date check : 1 seul trigger</t>
        </is>
      </c>
      <c r="J140" s="9" t="inlineStr"/>
      <c r="K140" s="9" t="inlineStr">
        <is>
          <t>À faire</t>
        </is>
      </c>
      <c r="L140" s="9" t="inlineStr">
        <is>
          <t>Majeur</t>
        </is>
      </c>
      <c r="M140" s="9" t="inlineStr"/>
      <c r="N140" s="9" t="inlineStr"/>
      <c r="O140" s="9" t="inlineStr"/>
    </row>
    <row r="141">
      <c r="A141" s="9" t="inlineStr">
        <is>
          <t>T-140</t>
        </is>
      </c>
      <c r="B141" s="9" t="inlineStr">
        <is>
          <t>Régression</t>
        </is>
      </c>
      <c r="C141" s="9" t="inlineStr">
        <is>
          <t>REQ-REG-05</t>
        </is>
      </c>
      <c r="D141" s="9" t="inlineStr">
        <is>
          <t>Tooltips après refonte</t>
        </is>
      </c>
      <c r="E141" s="9" t="inlineStr">
        <is>
          <t>Survoler 25 widgets clés (dont brand_examples_btn 💡 nouveau v2.3)</t>
        </is>
      </c>
      <c r="F141" s="9" t="inlineStr">
        <is>
          <t>Manuel</t>
        </is>
      </c>
      <c r="G141" s="9" t="inlineStr">
        <is>
          <t>T-001 OK</t>
        </is>
      </c>
      <c r="H141" s="9" t="inlineStr">
        <is>
          <t>—</t>
        </is>
      </c>
      <c r="I141" s="9" t="inlineStr">
        <is>
          <t>Tous affichent texte FR (registry has_tooltip) + clés filter_camera_make / brand_examples_btn présentes</t>
        </is>
      </c>
      <c r="J141" s="9" t="inlineStr"/>
      <c r="K141" s="9" t="inlineStr">
        <is>
          <t>À faire</t>
        </is>
      </c>
      <c r="L141" s="9" t="inlineStr">
        <is>
          <t>Mineur</t>
        </is>
      </c>
      <c r="M141" s="9" t="inlineStr"/>
      <c r="N141" s="9" t="inlineStr"/>
      <c r="O141" s="9" t="inlineStr"/>
    </row>
    <row r="142">
      <c r="A142" s="9" t="inlineStr">
        <is>
          <t>T-141</t>
        </is>
      </c>
      <c r="B142" s="9" t="inlineStr">
        <is>
          <t>Régression</t>
        </is>
      </c>
      <c r="C142" s="9" t="inlineStr">
        <is>
          <t>REQ-REG-06</t>
        </is>
      </c>
      <c r="D142" s="9" t="inlineStr">
        <is>
          <t>Cold-start non dégradé</t>
        </is>
      </c>
      <c r="E142" s="9" t="inlineStr">
        <is>
          <t>Compare cold-start v3 vs v4</t>
        </is>
      </c>
      <c r="F142" s="9" t="inlineStr">
        <is>
          <t>Manuel</t>
        </is>
      </c>
      <c r="G142" s="9" t="inlineStr">
        <is>
          <t>Build OK</t>
        </is>
      </c>
      <c r="H142" s="9" t="inlineStr">
        <is>
          <t>—</t>
        </is>
      </c>
      <c r="I142" s="9" t="inlineStr">
        <is>
          <t>Régression &lt; +500 ms</t>
        </is>
      </c>
      <c r="J142" s="9" t="inlineStr"/>
      <c r="K142" s="9" t="inlineStr">
        <is>
          <t>À faire</t>
        </is>
      </c>
      <c r="L142" s="9" t="inlineStr">
        <is>
          <t>Mineur</t>
        </is>
      </c>
      <c r="M142" s="9" t="inlineStr"/>
      <c r="N142" s="9" t="inlineStr"/>
      <c r="O142" s="9" t="inlineStr"/>
    </row>
    <row r="143">
      <c r="A143" s="9" t="inlineStr">
        <is>
          <t>T-142</t>
        </is>
      </c>
      <c r="B143" s="9" t="inlineStr">
        <is>
          <t>Régression</t>
        </is>
      </c>
      <c r="C143" s="9" t="inlineStr">
        <is>
          <t>REQ-REG-07</t>
        </is>
      </c>
      <c r="D143" s="9" t="inlineStr">
        <is>
          <t>Index CSV columns stables</t>
        </is>
      </c>
      <c r="E143" s="9" t="inlineStr">
        <is>
          <t>Run organisation avec export CSV</t>
        </is>
      </c>
      <c r="F143" s="9" t="inlineStr">
        <is>
          <t>Manuel</t>
        </is>
      </c>
      <c r="G143" s="9" t="inlineStr">
        <is>
          <t>T-001 OK</t>
        </is>
      </c>
      <c r="H143" s="9" t="inlineStr">
        <is>
          <t>input_nominal/</t>
        </is>
      </c>
      <c r="I143" s="9" t="inlineStr">
        <is>
          <t>Mêmes colonnes que ref_T-142.csv</t>
        </is>
      </c>
      <c r="J143" s="9" t="inlineStr"/>
      <c r="K143" s="9" t="inlineStr">
        <is>
          <t>À faire</t>
        </is>
      </c>
      <c r="L143" s="9" t="inlineStr">
        <is>
          <t>Majeur</t>
        </is>
      </c>
      <c r="M143" s="9" t="inlineStr"/>
      <c r="N143" s="9" t="inlineStr"/>
      <c r="O143" s="9" t="inlineStr"/>
    </row>
    <row r="144">
      <c r="A144" s="9" t="inlineStr">
        <is>
          <t>T-143</t>
        </is>
      </c>
      <c r="B144" s="9" t="inlineStr">
        <is>
          <t>Régression</t>
        </is>
      </c>
      <c r="C144" s="9" t="inlineStr">
        <is>
          <t>REQ-REG-08</t>
        </is>
      </c>
      <c r="D144" s="9" t="inlineStr">
        <is>
          <t>Mode incrémental cache invariant</t>
        </is>
      </c>
      <c r="E144" s="9" t="inlineStr">
        <is>
          <t>F09 2 runs</t>
        </is>
      </c>
      <c r="F144" s="9" t="inlineStr">
        <is>
          <t>Manuel</t>
        </is>
      </c>
      <c r="G144" s="9" t="inlineStr">
        <is>
          <t>T-001 OK</t>
        </is>
      </c>
      <c r="H144" s="9" t="inlineStr">
        <is>
          <t>input_nominal/</t>
        </is>
      </c>
      <c r="I144" s="9" t="inlineStr">
        <is>
          <t>.photoorganizer_index.json grandit, pas de réécriture totale</t>
        </is>
      </c>
      <c r="J144" s="9" t="inlineStr"/>
      <c r="K144" s="9" t="inlineStr">
        <is>
          <t>À faire</t>
        </is>
      </c>
      <c r="L144" s="9" t="inlineStr">
        <is>
          <t>Mineur</t>
        </is>
      </c>
      <c r="M144" s="9" t="inlineStr"/>
      <c r="N144" s="9" t="inlineStr"/>
      <c r="O144" s="9" t="inlineStr"/>
    </row>
    <row r="145">
      <c r="A145" s="9" t="inlineStr">
        <is>
          <t>T-144</t>
        </is>
      </c>
      <c r="B145" s="9" t="inlineStr">
        <is>
          <t>Régression</t>
        </is>
      </c>
      <c r="C145" s="9" t="inlineStr">
        <is>
          <t>REQ-REG-09</t>
        </is>
      </c>
      <c r="D145" s="9" t="inlineStr">
        <is>
          <t>GPS extraction piexif fix</t>
        </is>
      </c>
      <c r="E145" s="9" t="inlineStr">
        <is>
          <t>Vérifier coords extraites de rationnel piexif</t>
        </is>
      </c>
      <c r="F145" s="9" t="inlineStr">
        <is>
          <t>Manuel</t>
        </is>
      </c>
      <c r="G145" s="9" t="inlineStr">
        <is>
          <t>T-001 OK</t>
        </is>
      </c>
      <c r="H145" s="9" t="inlineStr">
        <is>
          <t>input_gps_piexif/</t>
        </is>
      </c>
      <c r="I145" s="9" t="inlineStr">
        <is>
          <t>Coords non None (cf. fix _to_decimal)</t>
        </is>
      </c>
      <c r="J145" s="9" t="inlineStr"/>
      <c r="K145" s="9" t="inlineStr">
        <is>
          <t>À faire</t>
        </is>
      </c>
      <c r="L145" s="9" t="inlineStr">
        <is>
          <t>Majeur</t>
        </is>
      </c>
      <c r="M145" s="9" t="inlineStr"/>
      <c r="N145" s="9" t="inlineStr"/>
      <c r="O145" s="9" t="inlineStr"/>
    </row>
    <row r="146">
      <c r="A146" s="9" t="inlineStr">
        <is>
          <t>T-145</t>
        </is>
      </c>
      <c r="B146" s="9" t="inlineStr">
        <is>
          <t>Régression</t>
        </is>
      </c>
      <c r="C146" s="9" t="inlineStr">
        <is>
          <t>REQ-REG-10</t>
        </is>
      </c>
      <c r="D146" s="9" t="inlineStr">
        <is>
          <t>Drag-drop fonctionnel EXE</t>
        </is>
      </c>
      <c r="E146" s="9" t="inlineStr">
        <is>
          <t>DnD dans EXE PyInstaller</t>
        </is>
      </c>
      <c r="F146" s="9" t="inlineStr">
        <is>
          <t>Manuel</t>
        </is>
      </c>
      <c r="G146" s="9" t="inlineStr">
        <is>
          <t>Build OK</t>
        </is>
      </c>
      <c r="H146" s="9" t="inlineStr">
        <is>
          <t>input_nominal/</t>
        </is>
      </c>
      <c r="I146" s="9" t="inlineStr">
        <is>
          <t>tkdnd 2.9.4 actif, drop fonctionnel</t>
        </is>
      </c>
      <c r="J146" s="9" t="inlineStr"/>
      <c r="K146" s="9" t="inlineStr">
        <is>
          <t>À faire</t>
        </is>
      </c>
      <c r="L146" s="9" t="inlineStr">
        <is>
          <t>Majeur</t>
        </is>
      </c>
      <c r="M146" s="9" t="inlineStr"/>
      <c r="N146" s="9" t="inlineStr"/>
      <c r="O146" s="9" t="inlineStr"/>
    </row>
    <row r="147">
      <c r="A147" s="9" t="inlineStr">
        <is>
          <t>T-146</t>
        </is>
      </c>
      <c r="B147" s="9" t="inlineStr">
        <is>
          <t>Régression</t>
        </is>
      </c>
      <c r="C147" s="9" t="inlineStr">
        <is>
          <t>REQ-REG-11</t>
        </is>
      </c>
      <c r="D147" s="9" t="inlineStr">
        <is>
          <t>Icône taskbar Windows</t>
        </is>
      </c>
      <c r="E147" s="9" t="inlineStr">
        <is>
          <t>EXE lancé, vérif barre tâches</t>
        </is>
      </c>
      <c r="F147" s="9" t="inlineStr">
        <is>
          <t>Manuel</t>
        </is>
      </c>
      <c r="G147" s="9" t="inlineStr">
        <is>
          <t>Build OK</t>
        </is>
      </c>
      <c r="H147" s="9" t="inlineStr">
        <is>
          <t>—</t>
        </is>
      </c>
      <c r="I147" s="9" t="inlineStr">
        <is>
          <t>Icône assets/icons/icon.ico visible</t>
        </is>
      </c>
      <c r="J147" s="9" t="inlineStr"/>
      <c r="K147" s="9" t="inlineStr">
        <is>
          <t>À faire</t>
        </is>
      </c>
      <c r="L147" s="9" t="inlineStr">
        <is>
          <t>Mineur</t>
        </is>
      </c>
      <c r="M147" s="9" t="inlineStr"/>
      <c r="N147" s="9" t="inlineStr"/>
      <c r="O147" s="9" t="inlineStr"/>
    </row>
    <row r="148">
      <c r="A148" s="9" t="inlineStr">
        <is>
          <t>T-147</t>
        </is>
      </c>
      <c r="B148" s="9" t="inlineStr">
        <is>
          <t>Régression</t>
        </is>
      </c>
      <c r="C148" s="9" t="inlineStr">
        <is>
          <t>REQ-REG-12</t>
        </is>
      </c>
      <c r="D148" s="9" t="inlineStr">
        <is>
          <t>Pytest non slow vert</t>
        </is>
      </c>
      <c r="E148" s="9" t="inlineStr">
        <is>
          <t>pytest tests/ -m 'not slow'</t>
        </is>
      </c>
      <c r="F148" s="9" t="inlineStr">
        <is>
          <t>Manuel</t>
        </is>
      </c>
      <c r="G148" s="9" t="inlineStr">
        <is>
          <t>—</t>
        </is>
      </c>
      <c r="H148" s="9" t="inlineStr">
        <is>
          <t>—</t>
        </is>
      </c>
      <c r="I148" s="9" t="inlineStr">
        <is>
          <t>98/98 verts</t>
        </is>
      </c>
      <c r="J148" s="9" t="inlineStr"/>
      <c r="K148" s="9" t="inlineStr">
        <is>
          <t>À faire</t>
        </is>
      </c>
      <c r="L148" s="9" t="inlineStr">
        <is>
          <t>Bloquant</t>
        </is>
      </c>
      <c r="M148" s="9" t="inlineStr"/>
      <c r="N148" s="9" t="inlineStr"/>
      <c r="O148" s="9" t="inlineStr"/>
    </row>
    <row r="149">
      <c r="A149" s="9" t="inlineStr">
        <is>
          <t>T-148</t>
        </is>
      </c>
      <c r="B149" s="9" t="inlineStr">
        <is>
          <t>Régression</t>
        </is>
      </c>
      <c r="C149" s="9" t="inlineStr">
        <is>
          <t>REQ-REG-13</t>
        </is>
      </c>
      <c r="D149" s="9" t="inlineStr">
        <is>
          <t>Pytest slow vert</t>
        </is>
      </c>
      <c r="E149" s="9" t="inlineStr">
        <is>
          <t>pytest tests/ -m 'slow'</t>
        </is>
      </c>
      <c r="F149" s="9" t="inlineStr">
        <is>
          <t>Manuel</t>
        </is>
      </c>
      <c r="G149" s="9" t="inlineStr">
        <is>
          <t>—</t>
        </is>
      </c>
      <c r="H149" s="9" t="inlineStr">
        <is>
          <t>—</t>
        </is>
      </c>
      <c r="I149" s="9" t="inlineStr">
        <is>
          <t>Tests volume/stress verts</t>
        </is>
      </c>
      <c r="J149" s="9" t="inlineStr"/>
      <c r="K149" s="9" t="inlineStr">
        <is>
          <t>À faire</t>
        </is>
      </c>
      <c r="L149" s="9" t="inlineStr">
        <is>
          <t>Majeur</t>
        </is>
      </c>
      <c r="M149" s="9" t="inlineStr"/>
      <c r="N149" s="9" t="inlineStr"/>
      <c r="O149" s="9" t="inlineStr"/>
    </row>
    <row r="150">
      <c r="A150" s="9" t="inlineStr">
        <is>
          <t>T-149</t>
        </is>
      </c>
      <c r="B150" s="9" t="inlineStr">
        <is>
          <t>Régression</t>
        </is>
      </c>
      <c r="C150" s="9" t="inlineStr">
        <is>
          <t>REQ-REG-14</t>
        </is>
      </c>
      <c r="D150" s="9" t="inlineStr">
        <is>
          <t>Ruff clean</t>
        </is>
      </c>
      <c r="E150" s="9" t="inlineStr">
        <is>
          <t>ruff check src/</t>
        </is>
      </c>
      <c r="F150" s="9" t="inlineStr">
        <is>
          <t>Manuel</t>
        </is>
      </c>
      <c r="G150" s="9" t="inlineStr">
        <is>
          <t>—</t>
        </is>
      </c>
      <c r="H150" s="9" t="inlineStr">
        <is>
          <t>—</t>
        </is>
      </c>
      <c r="I150" s="9" t="inlineStr">
        <is>
          <t>All checks passed</t>
        </is>
      </c>
      <c r="J150" s="9" t="inlineStr"/>
      <c r="K150" s="9" t="inlineStr">
        <is>
          <t>À faire</t>
        </is>
      </c>
      <c r="L150" s="9" t="inlineStr">
        <is>
          <t>Mineur</t>
        </is>
      </c>
      <c r="M150" s="9" t="inlineStr"/>
      <c r="N150" s="9" t="inlineStr"/>
      <c r="O150" s="9" t="inlineStr"/>
    </row>
    <row r="151">
      <c r="A151" s="9" t="inlineStr">
        <is>
          <t>T-150</t>
        </is>
      </c>
      <c r="B151" s="9" t="inlineStr">
        <is>
          <t>Régression</t>
        </is>
      </c>
      <c r="C151" s="9" t="inlineStr">
        <is>
          <t>REQ-REG-15</t>
        </is>
      </c>
      <c r="D151" s="9" t="inlineStr">
        <is>
          <t>Audit visuel 12/12</t>
        </is>
      </c>
      <c r="E151" s="9" t="inlineStr">
        <is>
          <t>python tools/visual_audit.py</t>
        </is>
      </c>
      <c r="F151" s="9" t="inlineStr">
        <is>
          <t>Manuel</t>
        </is>
      </c>
      <c r="G151" s="9" t="inlineStr">
        <is>
          <t>—</t>
        </is>
      </c>
      <c r="H151" s="9" t="inlineStr">
        <is>
          <t>—</t>
        </is>
      </c>
      <c r="I151" s="9" t="inlineStr">
        <is>
          <t>12/12 invariants OK</t>
        </is>
      </c>
      <c r="J151" s="9" t="inlineStr"/>
      <c r="K151" s="9" t="inlineStr">
        <is>
          <t>À faire</t>
        </is>
      </c>
      <c r="L151" s="9" t="inlineStr">
        <is>
          <t>Majeur</t>
        </is>
      </c>
      <c r="M151" s="9" t="inlineStr"/>
      <c r="N151" s="9" t="inlineStr"/>
      <c r="O151" s="9" t="inlineStr"/>
    </row>
    <row r="152">
      <c r="A152" s="2" t="inlineStr">
        <is>
          <t>T-151</t>
        </is>
      </c>
      <c r="B152" s="2" t="inlineStr">
        <is>
          <t>IHM</t>
        </is>
      </c>
      <c r="C152" s="2" t="inlineStr">
        <is>
          <t>REQ-IHM-31</t>
        </is>
      </c>
      <c r="D152" s="2" t="inlineStr">
        <is>
          <t>Onglets internes Organisation (×4)</t>
        </is>
      </c>
      <c r="E152" s="2" t="inlineStr">
        <is>
          <t>Vérifier que le panneau Organisation contient un bandeau d'onglets interne avec 4 onglets exacts : 🔍 Filtrer / 🗂 Organiser / 🛠 Traiter / 🏷 Renommer</t>
        </is>
      </c>
      <c r="F152" s="2" t="inlineStr">
        <is>
          <t>Manuel</t>
        </is>
      </c>
      <c r="G152" s="2" t="inlineStr">
        <is>
          <t>T-001 OK</t>
        </is>
      </c>
      <c r="H152" s="2" t="inlineStr">
        <is>
          <t>—</t>
        </is>
      </c>
      <c r="I152" s="2" t="inlineStr">
        <is>
          <t>Les 4 onglets exacts sont présents dans l'ordre attendu</t>
        </is>
      </c>
      <c r="J152" s="2" t="inlineStr"/>
      <c r="K152" s="2" t="inlineStr">
        <is>
          <t>À faire</t>
        </is>
      </c>
      <c r="L152" s="2" t="inlineStr">
        <is>
          <t>Majeur</t>
        </is>
      </c>
      <c r="M152" s="2" t="inlineStr"/>
      <c r="N152" s="2" t="inlineStr"/>
      <c r="O152" s="2" t="inlineStr"/>
    </row>
    <row r="153">
      <c r="A153" s="2" t="inlineStr">
        <is>
          <t>T-152</t>
        </is>
      </c>
      <c r="B153" s="2" t="inlineStr">
        <is>
          <t>IHM</t>
        </is>
      </c>
      <c r="C153" s="2" t="inlineStr">
        <is>
          <t>REQ-IHM-32</t>
        </is>
      </c>
      <c r="D153" s="2" t="inlineStr">
        <is>
          <t>Onglet par défaut = Organiser</t>
        </is>
      </c>
      <c r="E153" s="2" t="inlineStr">
        <is>
          <t>À l'ouverture du panneau Organisation, l'onglet 'Organiser' est sélectionné</t>
        </is>
      </c>
      <c r="F153" s="2" t="inlineStr">
        <is>
          <t>Manuel</t>
        </is>
      </c>
      <c r="G153" s="2" t="inlineStr">
        <is>
          <t>T-001 OK</t>
        </is>
      </c>
      <c r="H153" s="2" t="inlineStr">
        <is>
          <t>—</t>
        </is>
      </c>
      <c r="I153" s="2" t="inlineStr">
        <is>
          <t>_main_tabview.get() == '🗂  Organiser'</t>
        </is>
      </c>
      <c r="J153" s="2" t="inlineStr"/>
      <c r="K153" s="2" t="inlineStr">
        <is>
          <t>À faire</t>
        </is>
      </c>
      <c r="L153" s="2" t="inlineStr">
        <is>
          <t>Mineur</t>
        </is>
      </c>
      <c r="M153" s="2" t="inlineStr"/>
      <c r="N153" s="2" t="inlineStr"/>
      <c r="O153" s="2" t="inlineStr"/>
    </row>
    <row r="154">
      <c r="A154" s="2" t="inlineStr">
        <is>
          <t>T-153</t>
        </is>
      </c>
      <c r="B154" s="2" t="inlineStr">
        <is>
          <t>IHM</t>
        </is>
      </c>
      <c r="C154" s="2" t="inlineStr">
        <is>
          <t>REQ-IHM-33</t>
        </is>
      </c>
      <c r="D154" s="2" t="inlineStr">
        <is>
          <t>Bouton 💡 Exemples de marques</t>
        </is>
      </c>
      <c r="E154" s="2" t="inlineStr">
        <is>
          <t>Le bouton 💡 est présent à côté du champ 'Limiter aux marques' dans l'onglet Organiser</t>
        </is>
      </c>
      <c r="F154" s="2" t="inlineStr">
        <is>
          <t>Manuel</t>
        </is>
      </c>
      <c r="G154" s="2" t="inlineStr">
        <is>
          <t>T-001 OK</t>
        </is>
      </c>
      <c r="H154" s="2" t="inlineStr">
        <is>
          <t>—</t>
        </is>
      </c>
      <c r="I154" s="2" t="inlineStr">
        <is>
          <t>brand_examples_btn existe, text='💡', width=40, height=32, dans _tab_organize</t>
        </is>
      </c>
      <c r="J154" s="2" t="inlineStr"/>
      <c r="K154" s="2" t="inlineStr">
        <is>
          <t>À faire</t>
        </is>
      </c>
      <c r="L154" s="2" t="inlineStr">
        <is>
          <t>Majeur</t>
        </is>
      </c>
      <c r="M154" s="2" t="inlineStr"/>
      <c r="N154" s="2" t="inlineStr"/>
      <c r="O154" s="2" t="inlineStr"/>
    </row>
    <row r="155">
      <c r="A155" s="2" t="inlineStr">
        <is>
          <t>T-154</t>
        </is>
      </c>
      <c r="B155" s="2" t="inlineStr">
        <is>
          <t>IHM</t>
        </is>
      </c>
      <c r="C155" s="2" t="inlineStr">
        <is>
          <t>REQ-IHM-34</t>
        </is>
      </c>
      <c r="D155" s="2" t="inlineStr">
        <is>
          <t>Tooltip brand_examples_btn</t>
        </is>
      </c>
      <c r="E155" s="2" t="inlineStr">
        <is>
          <t>Survoler 600 ms le bouton 💡</t>
        </is>
      </c>
      <c r="F155" s="2" t="inlineStr">
        <is>
          <t>Manuel</t>
        </is>
      </c>
      <c r="G155" s="2" t="inlineStr">
        <is>
          <t>T-001 OK</t>
        </is>
      </c>
      <c r="H155" s="2" t="inlineStr">
        <is>
          <t>—</t>
        </is>
      </c>
      <c r="I155" s="2" t="inlineStr">
        <is>
          <t>Tooltip FR affiché (clé 'brand_examples_btn' présente dans ORGANIZE)</t>
        </is>
      </c>
      <c r="J155" s="2" t="inlineStr"/>
      <c r="K155" s="2" t="inlineStr">
        <is>
          <t>À faire</t>
        </is>
      </c>
      <c r="L155" s="2" t="inlineStr">
        <is>
          <t>Mineur</t>
        </is>
      </c>
      <c r="M155" s="2" t="inlineStr"/>
      <c r="N155" s="2" t="inlineStr"/>
      <c r="O155" s="2" t="inlineStr"/>
    </row>
    <row r="156">
      <c r="A156" s="2" t="inlineStr">
        <is>
          <t>T-155</t>
        </is>
      </c>
      <c r="B156" s="2" t="inlineStr">
        <is>
          <t>IHM</t>
        </is>
      </c>
      <c r="C156" s="2" t="inlineStr">
        <is>
          <t>REQ-IHM-35</t>
        </is>
      </c>
      <c r="D156" s="2" t="inlineStr">
        <is>
          <t>API du panneau intégré</t>
        </is>
      </c>
      <c r="E156" s="2" t="inlineStr">
        <is>
          <t>Ouvrir un panneau intégré (titre, constructeur, boutons de pied) puis fermer</t>
        </is>
      </c>
      <c r="F156" s="2" t="inlineStr">
        <is>
          <t>Manuel</t>
        </is>
      </c>
      <c r="G156" s="2" t="inlineStr">
        <is>
          <t>T-001 OK</t>
        </is>
      </c>
      <c r="H156" s="2" t="inlineStr">
        <is>
          <t>—</t>
        </is>
      </c>
      <c r="I156" s="2" t="inlineStr">
        <is>
          <t>Panneau créé pendant l'affichage, masque les onglets internes ; la fermeture détruit le panneau et restaure les onglets</t>
        </is>
      </c>
      <c r="J156" s="2" t="inlineStr"/>
      <c r="K156" s="2" t="inlineStr">
        <is>
          <t>À faire</t>
        </is>
      </c>
      <c r="L156" s="2" t="inlineStr">
        <is>
          <t>Majeur</t>
        </is>
      </c>
      <c r="M156" s="2" t="inlineStr"/>
      <c r="N156" s="2" t="inlineStr"/>
      <c r="O156" s="2" t="inlineStr"/>
    </row>
    <row r="157">
      <c r="A157" s="2" t="inlineStr">
        <is>
          <t>T-156</t>
        </is>
      </c>
      <c r="B157" s="2" t="inlineStr">
        <is>
          <t>IHM</t>
        </is>
      </c>
      <c r="C157" s="2" t="inlineStr">
        <is>
          <t>REQ-IHM-36</t>
        </is>
      </c>
      <c r="D157" s="2" t="inlineStr">
        <is>
          <t>Aperçu à blanc = panneau intégré</t>
        </is>
      </c>
      <c r="E157" s="2" t="inlineStr">
        <is>
          <t>Cliquer le bouton « Aperçu » du panneau latéral droit</t>
        </is>
      </c>
      <c r="F157" s="2" t="inlineStr">
        <is>
          <t>Manuel</t>
        </is>
      </c>
      <c r="G157" s="2" t="inlineStr">
        <is>
          <t>T-001 OK + source/destination valides</t>
        </is>
      </c>
      <c r="H157" s="2" t="inlineStr">
        <is>
          <t>input_nominal/</t>
        </is>
      </c>
      <c r="I157" s="2" t="inlineStr">
        <is>
          <t>Panneau intégré « 👁 Aperçu (à blanc, sans modification disque) » affiché — AUCUNE nouvelle fenêtre créée (refonte 2026-05-18)</t>
        </is>
      </c>
      <c r="J157" s="2" t="inlineStr"/>
      <c r="K157" s="2" t="inlineStr">
        <is>
          <t>À faire</t>
        </is>
      </c>
      <c r="L157" s="2" t="inlineStr">
        <is>
          <t>Majeur</t>
        </is>
      </c>
      <c r="M157" s="2" t="inlineStr"/>
      <c r="N157" s="2" t="inlineStr"/>
      <c r="O157" s="2" t="inlineStr"/>
    </row>
    <row r="158">
      <c r="A158" s="2" t="inlineStr">
        <is>
          <t>T-157</t>
        </is>
      </c>
      <c r="B158" s="2" t="inlineStr">
        <is>
          <t>IHM</t>
        </is>
      </c>
      <c r="C158" s="2" t="inlineStr">
        <is>
          <t>REQ-IHM-37</t>
        </is>
      </c>
      <c r="D158" s="2" t="inlineStr">
        <is>
          <t>Organisation terminée = panneau intégré</t>
        </is>
      </c>
      <c r="E158" s="2" t="inlineStr">
        <is>
          <t>Lancer une organisation simple, attendre la fin</t>
        </is>
      </c>
      <c r="F158" s="2" t="inlineStr">
        <is>
          <t>Manuel</t>
        </is>
      </c>
      <c r="G158" s="2" t="inlineStr">
        <is>
          <t>T-001 OK</t>
        </is>
      </c>
      <c r="H158" s="2" t="inlineStr">
        <is>
          <t>input_nominal/</t>
        </is>
      </c>
      <c r="I158" s="2" t="inlineStr">
        <is>
          <t>Panneau intégré « ✅ Organisation terminée » avec bouton « 📂 Ouvrir destination » — AUCUNE nouvelle fenêtre</t>
        </is>
      </c>
      <c r="J158" s="2" t="inlineStr"/>
      <c r="K158" s="2" t="inlineStr">
        <is>
          <t>À faire</t>
        </is>
      </c>
      <c r="L158" s="2" t="inlineStr">
        <is>
          <t>Majeur</t>
        </is>
      </c>
      <c r="M158" s="2" t="inlineStr"/>
      <c r="N158" s="2" t="inlineStr"/>
      <c r="O158" s="2" t="inlineStr"/>
    </row>
    <row r="159">
      <c r="A159" s="2" t="inlineStr">
        <is>
          <t>T-158</t>
        </is>
      </c>
      <c r="B159" s="2" t="inlineStr">
        <is>
          <t>IHM</t>
        </is>
      </c>
      <c r="C159" s="2" t="inlineStr">
        <is>
          <t>REQ-IHM-38</t>
        </is>
      </c>
      <c r="D159" s="2" t="inlineStr">
        <is>
          <t>Sauvegarder un preset = panneau intégré + validation</t>
        </is>
      </c>
      <c r="E159" s="2" t="inlineStr">
        <is>
          <t>Cliquer 💾 Sauvegarder un preset, saisir un nom avec espace, valider</t>
        </is>
      </c>
      <c r="F159" s="2" t="inlineStr">
        <is>
          <t>Manuel</t>
        </is>
      </c>
      <c r="G159" s="2" t="inlineStr">
        <is>
          <t>T-001 OK</t>
        </is>
      </c>
      <c r="H159" s="2" t="inlineStr">
        <is>
          <t>—</t>
        </is>
      </c>
      <c r="I159" s="2" t="inlineStr">
        <is>
          <t>Panneau intégré « Sauvegarder un preset » affiche une erreur en ligne rouge (aucune boîte de dialogue système) ; nom valide → preset enregistré + panneau fermé</t>
        </is>
      </c>
      <c r="J159" s="2" t="inlineStr"/>
      <c r="K159" s="2" t="inlineStr">
        <is>
          <t>À faire</t>
        </is>
      </c>
      <c r="L159" s="2" t="inlineStr">
        <is>
          <t>Majeur</t>
        </is>
      </c>
      <c r="M159" s="2" t="inlineStr"/>
      <c r="N159" s="2" t="inlineStr"/>
      <c r="O159" s="2" t="inlineStr"/>
    </row>
    <row r="160">
      <c r="A160" s="2" t="inlineStr">
        <is>
          <t>T-159</t>
        </is>
      </c>
      <c r="B160" s="2" t="inlineStr">
        <is>
          <t>IHM</t>
        </is>
      </c>
      <c r="C160" s="2" t="inlineStr">
        <is>
          <t>REQ-IHM-39</t>
        </is>
      </c>
      <c r="D160" s="2" t="inlineStr">
        <is>
          <t>Liste des fichiers détectés = panneau intégré</t>
        </is>
      </c>
      <c r="E160" s="2" t="inlineStr">
        <is>
          <t>Cliquer le bouton 📋 (compteur de fichiers) avec une source valide</t>
        </is>
      </c>
      <c r="F160" s="2" t="inlineStr">
        <is>
          <t>Manuel</t>
        </is>
      </c>
      <c r="G160" s="2" t="inlineStr">
        <is>
          <t>T-001 OK</t>
        </is>
      </c>
      <c r="H160" s="2" t="inlineStr">
        <is>
          <t>input_nominal/</t>
        </is>
      </c>
      <c r="I160" s="2" t="inlineStr">
        <is>
          <t>Panneau intégré « 📋 N fichier(s) détecté(s) » liste jusqu'à 500 chemins (sinon « … et N de plus ») — AUCUNE nouvelle fenêtre</t>
        </is>
      </c>
      <c r="J160" s="2" t="inlineStr"/>
      <c r="K160" s="2" t="inlineStr">
        <is>
          <t>À faire</t>
        </is>
      </c>
      <c r="L160" s="2" t="inlineStr">
        <is>
          <t>Mineur</t>
        </is>
      </c>
      <c r="M160" s="2" t="inlineStr"/>
      <c r="N160" s="2" t="inlineStr"/>
      <c r="O160" s="2" t="inlineStr"/>
    </row>
    <row r="161">
      <c r="A161" s="3" t="inlineStr">
        <is>
          <t>T-160</t>
        </is>
      </c>
      <c r="B161" s="3" t="inlineStr">
        <is>
          <t>Paramètres</t>
        </is>
      </c>
      <c r="C161" s="3" t="inlineStr">
        <is>
          <t>REQ-PRM-21</t>
        </is>
      </c>
      <c r="D161" s="3" t="inlineStr">
        <is>
          <t>Panneau 💡 ajoute marque au champ</t>
        </is>
      </c>
      <c r="E161" s="3" t="inlineStr">
        <is>
          <t>Ouvrir panneau Exemples de marques, cliquer le bouton 'Sony'</t>
        </is>
      </c>
      <c r="F161" s="3" t="inlineStr">
        <is>
          <t>Manuel</t>
        </is>
      </c>
      <c r="G161" s="3" t="inlineStr">
        <is>
          <t>T-001 OK</t>
        </is>
      </c>
      <c r="H161" s="3" t="inlineStr">
        <is>
          <t>—</t>
        </is>
      </c>
      <c r="I161" s="3" t="inlineStr">
        <is>
          <t>filter_camera_make.get() == 'Sony' (ajout en CSV au champ)</t>
        </is>
      </c>
      <c r="J161" s="3" t="inlineStr"/>
      <c r="K161" s="3" t="inlineStr">
        <is>
          <t>À faire</t>
        </is>
      </c>
      <c r="L161" s="3" t="inlineStr">
        <is>
          <t>Majeur</t>
        </is>
      </c>
      <c r="M161" s="3" t="inlineStr"/>
      <c r="N161" s="3" t="inlineStr"/>
      <c r="O161" s="3" t="inlineStr"/>
    </row>
    <row r="162">
      <c r="A162" s="3" t="inlineStr">
        <is>
          <t>T-161</t>
        </is>
      </c>
      <c r="B162" s="3" t="inlineStr">
        <is>
          <t>Paramètres</t>
        </is>
      </c>
      <c r="C162" s="3" t="inlineStr">
        <is>
          <t>REQ-PRM-22</t>
        </is>
      </c>
      <c r="D162" s="3" t="inlineStr">
        <is>
          <t>Panneau 💡 dédupliquer</t>
        </is>
      </c>
      <c r="E162" s="3" t="inlineStr">
        <is>
          <t>Cliquer 'Sony' une 2e fois dans le panneau</t>
        </is>
      </c>
      <c r="F162" s="3" t="inlineStr">
        <is>
          <t>Manuel</t>
        </is>
      </c>
      <c r="G162" s="3" t="inlineStr">
        <is>
          <t>T-160 OK</t>
        </is>
      </c>
      <c r="H162" s="3" t="inlineStr">
        <is>
          <t>—</t>
        </is>
      </c>
      <c r="I162" s="3" t="inlineStr">
        <is>
          <t>filter_camera_make.get() == 'Sony' (pas de doublon 'Sony,Sony')</t>
        </is>
      </c>
      <c r="J162" s="3" t="inlineStr"/>
      <c r="K162" s="3" t="inlineStr">
        <is>
          <t>À faire</t>
        </is>
      </c>
      <c r="L162" s="3" t="inlineStr">
        <is>
          <t>Mineur</t>
        </is>
      </c>
      <c r="M162" s="3" t="inlineStr"/>
      <c r="N162" s="3" t="inlineStr"/>
      <c r="O162" s="3" t="inlineStr"/>
    </row>
    <row r="163">
      <c r="A163" s="3" t="inlineStr">
        <is>
          <t>T-162</t>
        </is>
      </c>
      <c r="B163" s="3" t="inlineStr">
        <is>
          <t>Paramètres</t>
        </is>
      </c>
      <c r="C163" s="3" t="inlineStr">
        <is>
          <t>REQ-PRM-23</t>
        </is>
      </c>
      <c r="D163" s="3" t="inlineStr">
        <is>
          <t>Panneau 💡 bouton 🗑 Vider</t>
        </is>
      </c>
      <c r="E163" s="3" t="inlineStr">
        <is>
          <t>Champ = 'Sony,Canon', cliquer '🗑 Vider' dans le panneau</t>
        </is>
      </c>
      <c r="F163" s="3" t="inlineStr">
        <is>
          <t>Manuel</t>
        </is>
      </c>
      <c r="G163" s="3" t="inlineStr">
        <is>
          <t>T-160 OK</t>
        </is>
      </c>
      <c r="H163" s="3" t="inlineStr">
        <is>
          <t>—</t>
        </is>
      </c>
      <c r="I163" s="3" t="inlineStr">
        <is>
          <t>filter_camera_make.get() == ''</t>
        </is>
      </c>
      <c r="J163" s="3" t="inlineStr"/>
      <c r="K163" s="3" t="inlineStr">
        <is>
          <t>À faire</t>
        </is>
      </c>
      <c r="L163" s="3" t="inlineStr">
        <is>
          <t>Mineur</t>
        </is>
      </c>
      <c r="M163" s="3" t="inlineStr"/>
      <c r="N163" s="3" t="inlineStr"/>
      <c r="O163" s="3" t="inlineStr"/>
    </row>
    <row r="164">
      <c r="A164" s="3" t="inlineStr">
        <is>
          <t>T-163</t>
        </is>
      </c>
      <c r="B164" s="3" t="inlineStr">
        <is>
          <t>Paramètres</t>
        </is>
      </c>
      <c r="C164" s="3" t="inlineStr">
        <is>
          <t>REQ-PRM-24</t>
        </is>
      </c>
      <c r="D164" s="3" t="inlineStr">
        <is>
          <t>Panneau 💡 marques détectées source</t>
        </is>
      </c>
      <c r="E164" s="3" t="inlineStr">
        <is>
          <t>Source contient photos EXIF Sony+Canon, ouvrir panneau 💡</t>
        </is>
      </c>
      <c r="F164" s="3" t="inlineStr">
        <is>
          <t>Manuel</t>
        </is>
      </c>
      <c r="G164" s="3" t="inlineStr">
        <is>
          <t>T-001 OK</t>
        </is>
      </c>
      <c r="H164" s="3" t="inlineStr">
        <is>
          <t>input_gps_piexif/</t>
        </is>
      </c>
      <c r="I164" s="3" t="inlineStr">
        <is>
          <t>Section '📷 Détectées dans la source' affiche les marques EXIF de l'échantillon (50 premiers fichiers)</t>
        </is>
      </c>
      <c r="J164" s="3" t="inlineStr"/>
      <c r="K164" s="3" t="inlineStr">
        <is>
          <t>À faire</t>
        </is>
      </c>
      <c r="L164" s="3" t="inlineStr">
        <is>
          <t>Mineur</t>
        </is>
      </c>
      <c r="M164" s="3" t="inlineStr"/>
      <c r="N164" s="3" t="inlineStr"/>
      <c r="O164" s="3" t="inlineStr"/>
    </row>
    <row r="165">
      <c r="A165" s="3" t="inlineStr">
        <is>
          <t>T-164</t>
        </is>
      </c>
      <c r="B165" s="3" t="inlineStr">
        <is>
          <t>Paramètres</t>
        </is>
      </c>
      <c r="C165" s="3" t="inlineStr">
        <is>
          <t>REQ-PRM-25</t>
        </is>
      </c>
      <c r="D165" s="3" t="inlineStr">
        <is>
          <t>COMMON_CAMERA_MAKES exposé</t>
        </is>
      </c>
      <c r="E165" s="3" t="inlineStr">
        <is>
          <t>Vérifier la constante OrganizeFrame.COMMON_CAMERA_MAKES</t>
        </is>
      </c>
      <c r="F165" s="3" t="inlineStr">
        <is>
          <t>Manuel</t>
        </is>
      </c>
      <c r="G165" s="3" t="inlineStr">
        <is>
          <t>T-001 OK</t>
        </is>
      </c>
      <c r="H165" s="3" t="inlineStr">
        <is>
          <t>—</t>
        </is>
      </c>
      <c r="I165" s="3" t="inlineStr">
        <is>
          <t>Tuple ≥ 10 marques, trié alphabétiquement, inclut Apple/Canon/Nikon/Sony</t>
        </is>
      </c>
      <c r="J165" s="3" t="inlineStr"/>
      <c r="K165" s="3" t="inlineStr">
        <is>
          <t>À faire</t>
        </is>
      </c>
      <c r="L165" s="3" t="inlineStr">
        <is>
          <t>Cosmétique</t>
        </is>
      </c>
      <c r="M165" s="3" t="inlineStr"/>
      <c r="N165" s="3" t="inlineStr"/>
      <c r="O165" s="3" t="inlineStr"/>
    </row>
    <row r="166">
      <c r="A166" s="9" t="inlineStr">
        <is>
          <t>T-165</t>
        </is>
      </c>
      <c r="B166" s="9" t="inlineStr">
        <is>
          <t>Régression</t>
        </is>
      </c>
      <c r="C166" s="9" t="inlineStr">
        <is>
          <t>REQ-REG-16</t>
        </is>
      </c>
      <c r="D166" s="9" t="inlineStr">
        <is>
          <t>Pas de Toplevel sur actions Organize</t>
        </is>
      </c>
      <c r="E166" s="9" t="inlineStr">
        <is>
          <t>Déclencher Aperçu / 📋 / 💡 / Sauvegarder un preset et compter les nouvelles fenêtres ouvertes</t>
        </is>
      </c>
      <c r="F166" s="9" t="inlineStr">
        <is>
          <t>Manuel</t>
        </is>
      </c>
      <c r="G166" s="9" t="inlineStr">
        <is>
          <t>T-001 OK</t>
        </is>
      </c>
      <c r="H166" s="9" t="inlineStr">
        <is>
          <t>—</t>
        </is>
      </c>
      <c r="I166" s="9" t="inlineStr">
        <is>
          <t>count_toplevels(app) invariant avant/après chaque action (mémo utilisateur : 'pas de nouvelles fenêtres dans Organisation')</t>
        </is>
      </c>
      <c r="J166" s="9" t="inlineStr"/>
      <c r="K166" s="9" t="inlineStr">
        <is>
          <t>À faire</t>
        </is>
      </c>
      <c r="L166" s="9" t="inlineStr">
        <is>
          <t>Majeur</t>
        </is>
      </c>
      <c r="M166" s="9" t="inlineStr"/>
      <c r="N166" s="9" t="inlineStr"/>
      <c r="O166" s="9" t="inlineStr"/>
    </row>
    <row r="167">
      <c r="A167" s="2" t="inlineStr">
        <is>
          <t>T-166</t>
        </is>
      </c>
      <c r="B167" s="2" t="inlineStr">
        <is>
          <t>IHM</t>
        </is>
      </c>
      <c r="C167" s="2" t="inlineStr">
        <is>
          <t>REQ-IHM-40</t>
        </is>
      </c>
      <c r="D167" s="2" t="inlineStr">
        <is>
          <t>Bouton 💡 Exemples de filtres présent</t>
        </is>
      </c>
      <c r="E167" s="2" t="inlineStr">
        <is>
          <t>Vérifier la présence du bouton 💡 à côté du titre « 🔍 Filtres » dans l'onglet Filtrer</t>
        </is>
      </c>
      <c r="F167" s="2" t="inlineStr">
        <is>
          <t>Manuel</t>
        </is>
      </c>
      <c r="G167" s="2" t="inlineStr">
        <is>
          <t>T-001 OK</t>
        </is>
      </c>
      <c r="H167" s="2" t="inlineStr">
        <is>
          <t>—</t>
        </is>
      </c>
      <c r="I167" s="2" t="inlineStr">
        <is>
          <t>filter_examples_btn existe, libellé « 💡 », taille 40×32, situé dans le tab Filtrer</t>
        </is>
      </c>
      <c r="J167" s="2" t="inlineStr"/>
      <c r="K167" s="2" t="inlineStr">
        <is>
          <t>À faire</t>
        </is>
      </c>
      <c r="L167" s="2" t="inlineStr">
        <is>
          <t>Majeur</t>
        </is>
      </c>
      <c r="M167" s="2" t="inlineStr"/>
      <c r="N167" s="2" t="inlineStr"/>
      <c r="O167" s="2" t="inlineStr"/>
    </row>
    <row r="168">
      <c r="A168" s="2" t="inlineStr">
        <is>
          <t>T-167</t>
        </is>
      </c>
      <c r="B168" s="2" t="inlineStr">
        <is>
          <t>IHM</t>
        </is>
      </c>
      <c r="C168" s="2" t="inlineStr">
        <is>
          <t>REQ-IHM-41</t>
        </is>
      </c>
      <c r="D168" s="2" t="inlineStr">
        <is>
          <t>Tooltip Exemples de filtres</t>
        </is>
      </c>
      <c r="E168" s="2" t="inlineStr">
        <is>
          <t>Survoler 600 ms le bouton 💡 Exemples de filtres</t>
        </is>
      </c>
      <c r="F168" s="2" t="inlineStr">
        <is>
          <t>Manuel</t>
        </is>
      </c>
      <c r="G168" s="2" t="inlineStr">
        <is>
          <t>T-001 OK</t>
        </is>
      </c>
      <c r="H168" s="2" t="inlineStr">
        <is>
          <t>—</t>
        </is>
      </c>
      <c r="I168" s="2" t="inlineStr">
        <is>
          <t>Info-bulle FR affichée (clé « filter_examples_btn » présente dans ORGANIZE)</t>
        </is>
      </c>
      <c r="J168" s="2" t="inlineStr"/>
      <c r="K168" s="2" t="inlineStr">
        <is>
          <t>À faire</t>
        </is>
      </c>
      <c r="L168" s="2" t="inlineStr">
        <is>
          <t>Mineur</t>
        </is>
      </c>
      <c r="M168" s="2" t="inlineStr"/>
      <c r="N168" s="2" t="inlineStr"/>
      <c r="O168" s="2" t="inlineStr"/>
    </row>
    <row r="169">
      <c r="A169" s="2" t="inlineStr">
        <is>
          <t>T-168</t>
        </is>
      </c>
      <c r="B169" s="2" t="inlineStr">
        <is>
          <t>IHM</t>
        </is>
      </c>
      <c r="C169" s="2" t="inlineStr">
        <is>
          <t>REQ-IHM-42</t>
        </is>
      </c>
      <c r="D169" s="2" t="inlineStr">
        <is>
          <t>Panneau Exemples de filtres = intégré</t>
        </is>
      </c>
      <c r="E169" s="2" t="inlineStr">
        <is>
          <t>Cliquer le bouton 💡 de l'onglet Filtrer</t>
        </is>
      </c>
      <c r="F169" s="2" t="inlineStr">
        <is>
          <t>Manuel</t>
        </is>
      </c>
      <c r="G169" s="2" t="inlineStr">
        <is>
          <t>T-001 OK</t>
        </is>
      </c>
      <c r="H169" s="2" t="inlineStr">
        <is>
          <t>—</t>
        </is>
      </c>
      <c r="I169" s="2" t="inlineStr">
        <is>
          <t>Panneau intégré « 💡 Exemples de filtres (cliquer pour appliquer) » affiché — AUCUNE nouvelle fenêtre</t>
        </is>
      </c>
      <c r="J169" s="2" t="inlineStr"/>
      <c r="K169" s="2" t="inlineStr">
        <is>
          <t>À faire</t>
        </is>
      </c>
      <c r="L169" s="2" t="inlineStr">
        <is>
          <t>Majeur</t>
        </is>
      </c>
      <c r="M169" s="2" t="inlineStr"/>
      <c r="N169" s="2" t="inlineStr"/>
      <c r="O169" s="2" t="inlineStr"/>
    </row>
    <row r="170">
      <c r="A170" s="3" t="inlineStr">
        <is>
          <t>T-169</t>
        </is>
      </c>
      <c r="B170" s="3" t="inlineStr">
        <is>
          <t>Paramètres</t>
        </is>
      </c>
      <c r="C170" s="3" t="inlineStr">
        <is>
          <t>REQ-PRM-26</t>
        </is>
      </c>
      <c r="D170" s="3" t="inlineStr">
        <is>
          <t>Clic mot-clé ajoute au CSV</t>
        </is>
      </c>
      <c r="E170" s="3" t="inlineStr">
        <is>
          <t>Champ Mots-clés vide, ouvrir panneau, cliquer « vacances »</t>
        </is>
      </c>
      <c r="F170" s="3" t="inlineStr">
        <is>
          <t>Manuel</t>
        </is>
      </c>
      <c r="G170" s="3" t="inlineStr">
        <is>
          <t>T-001 OK</t>
        </is>
      </c>
      <c r="H170" s="3" t="inlineStr">
        <is>
          <t>—</t>
        </is>
      </c>
      <c r="I170" s="3" t="inlineStr">
        <is>
          <t>filter_keywords.get() == « vacances » ; un 2e clic ne crée pas de doublon</t>
        </is>
      </c>
      <c r="J170" s="3" t="inlineStr"/>
      <c r="K170" s="3" t="inlineStr">
        <is>
          <t>À faire</t>
        </is>
      </c>
      <c r="L170" s="3" t="inlineStr">
        <is>
          <t>Majeur</t>
        </is>
      </c>
      <c r="M170" s="3" t="inlineStr"/>
      <c r="N170" s="3" t="inlineStr"/>
      <c r="O170" s="3" t="inlineStr"/>
    </row>
    <row r="171">
      <c r="A171" s="3" t="inlineStr">
        <is>
          <t>T-170</t>
        </is>
      </c>
      <c r="B171" s="3" t="inlineStr">
        <is>
          <t>Paramètres</t>
        </is>
      </c>
      <c r="C171" s="3" t="inlineStr">
        <is>
          <t>REQ-PRM-27</t>
        </is>
      </c>
      <c r="D171" s="3" t="inlineStr">
        <is>
          <t>Clic extension cumule dans le CSV</t>
        </is>
      </c>
      <c r="E171" s="3" t="inlineStr">
        <is>
          <t>Champ Extensions vide, cliquer « jpg » puis « cr2 »</t>
        </is>
      </c>
      <c r="F171" s="3" t="inlineStr">
        <is>
          <t>Manuel</t>
        </is>
      </c>
      <c r="G171" s="3" t="inlineStr">
        <is>
          <t>T-001 OK</t>
        </is>
      </c>
      <c r="H171" s="3" t="inlineStr">
        <is>
          <t>—</t>
        </is>
      </c>
      <c r="I171" s="3" t="inlineStr">
        <is>
          <t>filter_extensions.get() == « jpg,cr2 » (CSV cumulatif déduplicaté)</t>
        </is>
      </c>
      <c r="J171" s="3" t="inlineStr"/>
      <c r="K171" s="3" t="inlineStr">
        <is>
          <t>À faire</t>
        </is>
      </c>
      <c r="L171" s="3" t="inlineStr">
        <is>
          <t>Majeur</t>
        </is>
      </c>
      <c r="M171" s="3" t="inlineStr"/>
      <c r="N171" s="3" t="inlineStr"/>
      <c r="O171" s="3" t="inlineStr"/>
    </row>
    <row r="172">
      <c r="A172" s="3" t="inlineStr">
        <is>
          <t>T-171</t>
        </is>
      </c>
      <c r="B172" s="3" t="inlineStr">
        <is>
          <t>Paramètres</t>
        </is>
      </c>
      <c r="C172" s="3" t="inlineStr">
        <is>
          <t>REQ-PRM-28</t>
        </is>
      </c>
      <c r="D172" s="3" t="inlineStr">
        <is>
          <t>Dimensions ↧ min / ↥ max</t>
        </is>
      </c>
      <c r="E172" s="3" t="inlineStr">
        <is>
          <t>Cliquer ↧ min sur la plus petite dimension, puis ↥ max sur la plus grande</t>
        </is>
      </c>
      <c r="F172" s="3" t="inlineStr">
        <is>
          <t>Manuel</t>
        </is>
      </c>
      <c r="G172" s="3" t="inlineStr">
        <is>
          <t>T-001 OK</t>
        </is>
      </c>
      <c r="H172" s="3" t="inlineStr">
        <is>
          <t>—</t>
        </is>
      </c>
      <c r="I172" s="3" t="inlineStr">
        <is>
          <t>filter_dim_min = première valeur (640×480) ; filter_dim_max = dernière (8K UHD)</t>
        </is>
      </c>
      <c r="J172" s="3" t="inlineStr"/>
      <c r="K172" s="3" t="inlineStr">
        <is>
          <t>À faire</t>
        </is>
      </c>
      <c r="L172" s="3" t="inlineStr">
        <is>
          <t>Majeur</t>
        </is>
      </c>
      <c r="M172" s="3" t="inlineStr"/>
      <c r="N172" s="3" t="inlineStr"/>
      <c r="O172" s="3" t="inlineStr"/>
    </row>
    <row r="173">
      <c r="A173" s="3" t="inlineStr">
        <is>
          <t>T-172</t>
        </is>
      </c>
      <c r="B173" s="3" t="inlineStr">
        <is>
          <t>Paramètres</t>
        </is>
      </c>
      <c r="C173" s="3" t="inlineStr">
        <is>
          <t>REQ-PRM-29</t>
        </is>
      </c>
      <c r="D173" s="3" t="inlineStr">
        <is>
          <t>Orientation applique la valeur</t>
        </is>
      </c>
      <c r="E173" s="3" t="inlineStr">
        <is>
          <t>Cliquer « Portrait » dans la section Orientation du panneau</t>
        </is>
      </c>
      <c r="F173" s="3" t="inlineStr">
        <is>
          <t>Manuel</t>
        </is>
      </c>
      <c r="G173" s="3" t="inlineStr">
        <is>
          <t>T-001 OK</t>
        </is>
      </c>
      <c r="H173" s="3" t="inlineStr">
        <is>
          <t>—</t>
        </is>
      </c>
      <c r="I173" s="3" t="inlineStr">
        <is>
          <t>filter_orientation.get() == « portrait »</t>
        </is>
      </c>
      <c r="J173" s="3" t="inlineStr"/>
      <c r="K173" s="3" t="inlineStr">
        <is>
          <t>À faire</t>
        </is>
      </c>
      <c r="L173" s="3" t="inlineStr">
        <is>
          <t>Mineur</t>
        </is>
      </c>
      <c r="M173" s="3" t="inlineStr"/>
      <c r="N173" s="3" t="inlineStr"/>
      <c r="O173" s="3" t="inlineStr"/>
    </row>
    <row r="174">
      <c r="A174" s="3" t="inlineStr">
        <is>
          <t>T-173</t>
        </is>
      </c>
      <c r="B174" s="3" t="inlineStr">
        <is>
          <t>Paramètres</t>
        </is>
      </c>
      <c r="C174" s="3" t="inlineStr">
        <is>
          <t>REQ-PRM-30</t>
        </is>
      </c>
      <c r="D174" s="3" t="inlineStr">
        <is>
          <t>Note minimale applique la valeur</t>
        </is>
      </c>
      <c r="E174" s="3" t="inlineStr">
        <is>
          <t>Cliquer le bouton 4 étoiles dans la section Note</t>
        </is>
      </c>
      <c r="F174" s="3" t="inlineStr">
        <is>
          <t>Manuel</t>
        </is>
      </c>
      <c r="G174" s="3" t="inlineStr">
        <is>
          <t>T-001 OK</t>
        </is>
      </c>
      <c r="H174" s="3" t="inlineStr">
        <is>
          <t>—</t>
        </is>
      </c>
      <c r="I174" s="3" t="inlineStr">
        <is>
          <t>filter_rating_min.get() == 4</t>
        </is>
      </c>
      <c r="J174" s="3" t="inlineStr"/>
      <c r="K174" s="3" t="inlineStr">
        <is>
          <t>À faire</t>
        </is>
      </c>
      <c r="L174" s="3" t="inlineStr">
        <is>
          <t>Mineur</t>
        </is>
      </c>
      <c r="M174" s="3" t="inlineStr"/>
      <c r="N174" s="3" t="inlineStr"/>
      <c r="O174" s="3" t="inlineStr"/>
    </row>
    <row r="175">
      <c r="A175" s="3" t="inlineStr">
        <is>
          <t>T-174</t>
        </is>
      </c>
      <c r="B175" s="3" t="inlineStr">
        <is>
          <t>Paramètres</t>
        </is>
      </c>
      <c r="C175" s="3" t="inlineStr">
        <is>
          <t>REQ-PRM-31</t>
        </is>
      </c>
      <c r="D175" s="3" t="inlineStr">
        <is>
          <t>Liste des constantes standards</t>
        </is>
      </c>
      <c r="E175" s="3" t="inlineStr">
        <is>
          <t>Vérifier la présence et la complétude des constantes de classe</t>
        </is>
      </c>
      <c r="F175" s="3" t="inlineStr">
        <is>
          <t>Manuel</t>
        </is>
      </c>
      <c r="G175" s="3" t="inlineStr">
        <is>
          <t>T-001 OK</t>
        </is>
      </c>
      <c r="H175" s="3" t="inlineStr">
        <is>
          <t>—</t>
        </is>
      </c>
      <c r="I175" s="3" t="inlineStr">
        <is>
          <t>COMMON_KEYWORDS ≥ 10 ; COMMON_EXTENSIONS_IMAGES contient jpg ; COMMON_EXTENSIONS_RAW contient cr2 ; COMMON_EXTENSIONS_VIDEOS contient mp4 ; COMMON_DIMENSIONS inclut Full HD ; COMMON_ORIENTATIONS == 4 (Toutes/Paysage/Portrait/Carré)</t>
        </is>
      </c>
      <c r="J175" s="3" t="inlineStr"/>
      <c r="K175" s="3" t="inlineStr">
        <is>
          <t>À faire</t>
        </is>
      </c>
      <c r="L175" s="3" t="inlineStr">
        <is>
          <t>Cosmétique</t>
        </is>
      </c>
      <c r="M175" s="3" t="inlineStr"/>
      <c r="N175" s="3" t="inlineStr"/>
      <c r="O175" s="3" t="inlineStr"/>
    </row>
    <row r="176">
      <c r="A176" s="9" t="inlineStr">
        <is>
          <t>T-175</t>
        </is>
      </c>
      <c r="B176" s="9" t="inlineStr">
        <is>
          <t>Régression</t>
        </is>
      </c>
      <c r="C176" s="9" t="inlineStr">
        <is>
          <t>REQ-REG-17</t>
        </is>
      </c>
      <c r="D176" s="9" t="inlineStr">
        <is>
          <t>Pas de Toplevel sur panneau Filtres</t>
        </is>
      </c>
      <c r="E176" s="9" t="inlineStr">
        <is>
          <t>Cliquer le bouton 💡 de l'onglet Filtrer et compter les nouvelles fenêtres</t>
        </is>
      </c>
      <c r="F176" s="9" t="inlineStr">
        <is>
          <t>Manuel</t>
        </is>
      </c>
      <c r="G176" s="9" t="inlineStr">
        <is>
          <t>T-001 OK</t>
        </is>
      </c>
      <c r="H176" s="9" t="inlineStr">
        <is>
          <t>—</t>
        </is>
      </c>
      <c r="I176" s="9" t="inlineStr">
        <is>
          <t>count_toplevels(app) invariant avant/après le clic (mémo utilisateur : « pas de nouvelles fenêtres dans Organisation »)</t>
        </is>
      </c>
      <c r="J176" s="9" t="inlineStr"/>
      <c r="K176" s="9" t="inlineStr">
        <is>
          <t>À faire</t>
        </is>
      </c>
      <c r="L176" s="9" t="inlineStr">
        <is>
          <t>Majeur</t>
        </is>
      </c>
      <c r="M176" s="9" t="inlineStr"/>
      <c r="N176" s="9" t="inlineStr"/>
      <c r="O176" s="9" t="inlineStr"/>
    </row>
    <row r="177">
      <c r="A177" s="8" t="inlineStr">
        <is>
          <t>T-176</t>
        </is>
      </c>
      <c r="B177" s="8" t="inlineStr">
        <is>
          <t>Robustesse</t>
        </is>
      </c>
      <c r="C177" s="8" t="inlineStr">
        <is>
          <t>REQ-ROB-21</t>
        </is>
      </c>
      <c r="D177" s="8" t="inlineStr">
        <is>
          <t>Quarantaine : déplacement vers session_dir</t>
        </is>
      </c>
      <c r="E177" s="8" t="inlineStr">
        <is>
          <t>Appeler QuarantineManager.quarantine_file sur un fichier</t>
        </is>
      </c>
      <c r="F177" s="8" t="inlineStr">
        <is>
          <t>Auto</t>
        </is>
      </c>
      <c r="G177" s="8" t="inlineStr">
        <is>
          <t>T-001 OK</t>
        </is>
      </c>
      <c r="H177" s="8" t="inlineStr">
        <is>
          <t>Fichier source existant</t>
        </is>
      </c>
      <c r="I177" s="8" t="inlineStr">
        <is>
          <t>Le fichier disparaît de la source et apparaît dans &lt;root&gt;/&lt;session_id&gt;/&lt;hash&gt;_&lt;nom&gt;</t>
        </is>
      </c>
      <c r="J177" s="8" t="inlineStr">
        <is>
          <t>pytest vert (campagne 217 passed)</t>
        </is>
      </c>
      <c r="K177" s="8" t="inlineStr">
        <is>
          <t>OK</t>
        </is>
      </c>
      <c r="L177" s="8" t="inlineStr">
        <is>
          <t>Majeur</t>
        </is>
      </c>
      <c r="M177" s="8" t="inlineStr">
        <is>
          <t>Claude (campagne auto)</t>
        </is>
      </c>
      <c r="N177" s="8" t="inlineStr">
        <is>
          <t>2026-06-12</t>
        </is>
      </c>
      <c r="O177" s="8" t="inlineStr"/>
    </row>
    <row r="178">
      <c r="A178" s="8" t="inlineStr">
        <is>
          <t>T-177</t>
        </is>
      </c>
      <c r="B178" s="8" t="inlineStr">
        <is>
          <t>Robustesse</t>
        </is>
      </c>
      <c r="C178" s="8" t="inlineStr">
        <is>
          <t>REQ-ROB-22</t>
        </is>
      </c>
      <c r="D178" s="8" t="inlineStr">
        <is>
          <t>Quarantaine : manifest JSON persistant</t>
        </is>
      </c>
      <c r="E178" s="8" t="inlineStr">
        <is>
          <t>Vérifier &lt;session_dir&gt;/manifest.json après chaque opération</t>
        </is>
      </c>
      <c r="F178" s="8" t="inlineStr">
        <is>
          <t>Auto</t>
        </is>
      </c>
      <c r="G178" s="8" t="inlineStr">
        <is>
          <t>T-176 OK</t>
        </is>
      </c>
      <c r="H178" s="8" t="inlineStr">
        <is>
          <t>—</t>
        </is>
      </c>
      <c r="I178" s="8" t="inlineStr">
        <is>
          <t>manifest.json existe, contient session_id + entries avec source/destination/timestamp</t>
        </is>
      </c>
      <c r="J178" s="8" t="inlineStr">
        <is>
          <t>pytest vert (campagne 217 passed)</t>
        </is>
      </c>
      <c r="K178" s="8" t="inlineStr">
        <is>
          <t>OK</t>
        </is>
      </c>
      <c r="L178" s="8" t="inlineStr">
        <is>
          <t>Majeur</t>
        </is>
      </c>
      <c r="M178" s="8" t="inlineStr">
        <is>
          <t>Claude (campagne auto)</t>
        </is>
      </c>
      <c r="N178" s="8" t="inlineStr">
        <is>
          <t>2026-06-12</t>
        </is>
      </c>
      <c r="O178" s="8" t="inlineStr"/>
    </row>
    <row r="179">
      <c r="A179" s="8" t="inlineStr">
        <is>
          <t>T-178</t>
        </is>
      </c>
      <c r="B179" s="8" t="inlineStr">
        <is>
          <t>Robustesse</t>
        </is>
      </c>
      <c r="C179" s="8" t="inlineStr">
        <is>
          <t>REQ-ROB-23</t>
        </is>
      </c>
      <c r="D179" s="8" t="inlineStr">
        <is>
          <t>Quarantaine : pas de collision de noms</t>
        </is>
      </c>
      <c r="E179" s="8" t="inlineStr">
        <is>
          <t>Quarantiner 2 fichiers de même nom dans dossiers différents</t>
        </is>
      </c>
      <c r="F179" s="8" t="inlineStr">
        <is>
          <t>Auto</t>
        </is>
      </c>
      <c r="G179" s="8" t="inlineStr">
        <is>
          <t>T-176 OK</t>
        </is>
      </c>
      <c r="H179" s="8" t="inlineStr">
        <is>
          <t>—</t>
        </is>
      </c>
      <c r="I179" s="8" t="inlineStr">
        <is>
          <t>Les 2 fichiers coexistent en quarantaine (préfixes de hash différents)</t>
        </is>
      </c>
      <c r="J179" s="8" t="inlineStr">
        <is>
          <t>pytest vert (campagne 217 passed)</t>
        </is>
      </c>
      <c r="K179" s="8" t="inlineStr">
        <is>
          <t>OK</t>
        </is>
      </c>
      <c r="L179" s="8" t="inlineStr">
        <is>
          <t>Majeur</t>
        </is>
      </c>
      <c r="M179" s="8" t="inlineStr">
        <is>
          <t>Claude (campagne auto)</t>
        </is>
      </c>
      <c r="N179" s="8" t="inlineStr">
        <is>
          <t>2026-06-12</t>
        </is>
      </c>
      <c r="O179" s="8" t="inlineStr"/>
    </row>
    <row r="180">
      <c r="A180" s="6" t="inlineStr">
        <is>
          <t>T-179</t>
        </is>
      </c>
      <c r="B180" s="6" t="inlineStr">
        <is>
          <t>Cas limites</t>
        </is>
      </c>
      <c r="C180" s="6" t="inlineStr">
        <is>
          <t>REQ-LIM-26</t>
        </is>
      </c>
      <c r="D180" s="6" t="inlineStr">
        <is>
          <t>Quarantaine : fichier source absent</t>
        </is>
      </c>
      <c r="E180" s="6" t="inlineStr">
        <is>
          <t>Appeler quarantine_file sur un chemin inexistant</t>
        </is>
      </c>
      <c r="F180" s="6" t="inlineStr">
        <is>
          <t>Auto</t>
        </is>
      </c>
      <c r="G180" s="6" t="inlineStr">
        <is>
          <t>T-001 OK</t>
        </is>
      </c>
      <c r="H180" s="6" t="inlineStr">
        <is>
          <t>—</t>
        </is>
      </c>
      <c r="I180" s="6" t="inlineStr">
        <is>
          <t>FileNotFoundError levée immédiatement avec message clair</t>
        </is>
      </c>
      <c r="J180" s="6" t="inlineStr">
        <is>
          <t>pytest vert (campagne 217 passed)</t>
        </is>
      </c>
      <c r="K180" s="6" t="inlineStr">
        <is>
          <t>OK</t>
        </is>
      </c>
      <c r="L180" s="6" t="inlineStr">
        <is>
          <t>Mineur</t>
        </is>
      </c>
      <c r="M180" s="6" t="inlineStr">
        <is>
          <t>Claude (campagne auto)</t>
        </is>
      </c>
      <c r="N180" s="6" t="inlineStr">
        <is>
          <t>2026-06-12</t>
        </is>
      </c>
      <c r="O180" s="6" t="inlineStr"/>
    </row>
    <row r="181">
      <c r="A181" s="8" t="inlineStr">
        <is>
          <t>T-180</t>
        </is>
      </c>
      <c r="B181" s="8" t="inlineStr">
        <is>
          <t>Robustesse</t>
        </is>
      </c>
      <c r="C181" s="8" t="inlineStr">
        <is>
          <t>REQ-ROB-24</t>
        </is>
      </c>
      <c r="D181" s="8" t="inlineStr">
        <is>
          <t>Restauration : fichier remis à la source</t>
        </is>
      </c>
      <c r="E181" s="8" t="inlineStr">
        <is>
          <t>Quarantiner puis restore_entry du même fichier</t>
        </is>
      </c>
      <c r="F181" s="8" t="inlineStr">
        <is>
          <t>Auto</t>
        </is>
      </c>
      <c r="G181" s="8" t="inlineStr">
        <is>
          <t>T-176 OK</t>
        </is>
      </c>
      <c r="H181" s="8" t="inlineStr">
        <is>
          <t>—</t>
        </is>
      </c>
      <c r="I181" s="8" t="inlineStr">
        <is>
          <t>Fichier réapparu à son chemin d'origine, entrée disparue du manifest</t>
        </is>
      </c>
      <c r="J181" s="8" t="inlineStr">
        <is>
          <t>pytest vert (campagne 217 passed)</t>
        </is>
      </c>
      <c r="K181" s="8" t="inlineStr">
        <is>
          <t>OK</t>
        </is>
      </c>
      <c r="L181" s="8" t="inlineStr">
        <is>
          <t>Majeur</t>
        </is>
      </c>
      <c r="M181" s="8" t="inlineStr">
        <is>
          <t>Claude (campagne auto)</t>
        </is>
      </c>
      <c r="N181" s="8" t="inlineStr">
        <is>
          <t>2026-06-12</t>
        </is>
      </c>
      <c r="O181" s="8" t="inlineStr"/>
    </row>
    <row r="182">
      <c r="A182" s="6" t="inlineStr">
        <is>
          <t>T-181</t>
        </is>
      </c>
      <c r="B182" s="6" t="inlineStr">
        <is>
          <t>Cas limites</t>
        </is>
      </c>
      <c r="C182" s="6" t="inlineStr">
        <is>
          <t>REQ-LIM-27</t>
        </is>
      </c>
      <c r="D182" s="6" t="inlineStr">
        <is>
          <t>Restauration : dossier source supprimé</t>
        </is>
      </c>
      <c r="E182" s="6" t="inlineStr">
        <is>
          <t>Quarantiner, puis supprimer le dossier source, puis restore_entry</t>
        </is>
      </c>
      <c r="F182" s="6" t="inlineStr">
        <is>
          <t>Auto</t>
        </is>
      </c>
      <c r="G182" s="6" t="inlineStr">
        <is>
          <t>T-180 OK</t>
        </is>
      </c>
      <c r="H182" s="6" t="inlineStr">
        <is>
          <t>—</t>
        </is>
      </c>
      <c r="I182" s="6" t="inlineStr">
        <is>
          <t>Le dossier source est recréé, le fichier est restauré dedans</t>
        </is>
      </c>
      <c r="J182" s="6" t="inlineStr">
        <is>
          <t>pytest vert (campagne 217 passed)</t>
        </is>
      </c>
      <c r="K182" s="6" t="inlineStr">
        <is>
          <t>OK</t>
        </is>
      </c>
      <c r="L182" s="6" t="inlineStr">
        <is>
          <t>Majeur</t>
        </is>
      </c>
      <c r="M182" s="6" t="inlineStr">
        <is>
          <t>Claude (campagne auto)</t>
        </is>
      </c>
      <c r="N182" s="6" t="inlineStr">
        <is>
          <t>2026-06-12</t>
        </is>
      </c>
      <c r="O182" s="6" t="inlineStr"/>
    </row>
    <row r="183">
      <c r="A183" s="6" t="inlineStr">
        <is>
          <t>T-182</t>
        </is>
      </c>
      <c r="B183" s="6" t="inlineStr">
        <is>
          <t>Cas limites</t>
        </is>
      </c>
      <c r="C183" s="6" t="inlineStr">
        <is>
          <t>REQ-LIM-28</t>
        </is>
      </c>
      <c r="D183" s="6" t="inlineStr">
        <is>
          <t>Restauration : nom déjà repris à la source</t>
        </is>
      </c>
      <c r="E183" s="6" t="inlineStr">
        <is>
          <t>Quarantiner, recréer un fichier au même nom à la source, restaurer</t>
        </is>
      </c>
      <c r="F183" s="6" t="inlineStr">
        <is>
          <t>Auto</t>
        </is>
      </c>
      <c r="G183" s="6" t="inlineStr">
        <is>
          <t>T-180 OK</t>
        </is>
      </c>
      <c r="H183" s="6" t="inlineStr">
        <is>
          <t>—</t>
        </is>
      </c>
      <c r="I183" s="6" t="inlineStr">
        <is>
          <t>Le restauré est suffixé « _restored1 », l'existant n'est pas écrasé</t>
        </is>
      </c>
      <c r="J183" s="6" t="inlineStr">
        <is>
          <t>pytest vert (campagne 217 passed)</t>
        </is>
      </c>
      <c r="K183" s="6" t="inlineStr">
        <is>
          <t>OK</t>
        </is>
      </c>
      <c r="L183" s="6" t="inlineStr">
        <is>
          <t>Majeur</t>
        </is>
      </c>
      <c r="M183" s="6" t="inlineStr">
        <is>
          <t>Claude (campagne auto)</t>
        </is>
      </c>
      <c r="N183" s="6" t="inlineStr">
        <is>
          <t>2026-06-12</t>
        </is>
      </c>
      <c r="O183" s="6" t="inlineStr"/>
    </row>
    <row r="184">
      <c r="A184" s="5" t="inlineStr">
        <is>
          <t>T-183</t>
        </is>
      </c>
      <c r="B184" s="5" t="inlineStr">
        <is>
          <t>Sorties</t>
        </is>
      </c>
      <c r="C184" s="5" t="inlineStr">
        <is>
          <t>REQ-SOR-16</t>
        </is>
      </c>
      <c r="D184" s="5" t="inlineStr">
        <is>
          <t>Vider quarantaine → corbeille système</t>
        </is>
      </c>
      <c r="E184" s="5" t="inlineStr">
        <is>
          <t>Appeler empty_to_system_trash sur 3 fichiers en quarantaine</t>
        </is>
      </c>
      <c r="F184" s="5" t="inlineStr">
        <is>
          <t>Auto</t>
        </is>
      </c>
      <c r="G184" s="5" t="inlineStr">
        <is>
          <t>T-176 OK</t>
        </is>
      </c>
      <c r="H184" s="5" t="inlineStr">
        <is>
          <t>send2trash dispo</t>
        </is>
      </c>
      <c r="I184" s="5" t="inlineStr">
        <is>
          <t>result['trashed'] == 3, manifest vidé, dossier session_dir nettoyé</t>
        </is>
      </c>
      <c r="J184" s="5" t="inlineStr">
        <is>
          <t>pytest vert (campagne 217 passed)</t>
        </is>
      </c>
      <c r="K184" s="5" t="inlineStr">
        <is>
          <t>OK</t>
        </is>
      </c>
      <c r="L184" s="5" t="inlineStr">
        <is>
          <t>Majeur</t>
        </is>
      </c>
      <c r="M184" s="5" t="inlineStr">
        <is>
          <t>Claude (campagne auto)</t>
        </is>
      </c>
      <c r="N184" s="5" t="inlineStr">
        <is>
          <t>2026-06-12</t>
        </is>
      </c>
      <c r="O184" s="5" t="inlineStr"/>
    </row>
    <row r="185">
      <c r="A185" s="8" t="inlineStr">
        <is>
          <t>T-184</t>
        </is>
      </c>
      <c r="B185" s="8" t="inlineStr">
        <is>
          <t>Robustesse</t>
        </is>
      </c>
      <c r="C185" s="8" t="inlineStr">
        <is>
          <t>REQ-ROB-25</t>
        </is>
      </c>
      <c r="D185" s="8" t="inlineStr">
        <is>
          <t>Persistance : rechargement manifest</t>
        </is>
      </c>
      <c r="E185" s="8" t="inlineStr">
        <is>
          <t>Créer quarantaine, créer une nouvelle instance via load_session</t>
        </is>
      </c>
      <c r="F185" s="8" t="inlineStr">
        <is>
          <t>Auto</t>
        </is>
      </c>
      <c r="G185" s="8" t="inlineStr">
        <is>
          <t>T-177 OK</t>
        </is>
      </c>
      <c r="H185" s="8" t="inlineStr">
        <is>
          <t>—</t>
        </is>
      </c>
      <c r="I185" s="8" t="inlineStr">
        <is>
          <t>load_session restitue toutes les entrées avec leurs métadonnées</t>
        </is>
      </c>
      <c r="J185" s="8" t="inlineStr">
        <is>
          <t>pytest vert (campagne 217 passed)</t>
        </is>
      </c>
      <c r="K185" s="8" t="inlineStr">
        <is>
          <t>OK</t>
        </is>
      </c>
      <c r="L185" s="8" t="inlineStr">
        <is>
          <t>Majeur</t>
        </is>
      </c>
      <c r="M185" s="8" t="inlineStr">
        <is>
          <t>Claude (campagne auto)</t>
        </is>
      </c>
      <c r="N185" s="8" t="inlineStr">
        <is>
          <t>2026-06-12</t>
        </is>
      </c>
      <c r="O185" s="8" t="inlineStr"/>
    </row>
    <row r="186">
      <c r="A186" s="9" t="inlineStr">
        <is>
          <t>T-185</t>
        </is>
      </c>
      <c r="B186" s="9" t="inlineStr">
        <is>
          <t>Régression</t>
        </is>
      </c>
      <c r="C186" s="9" t="inlineStr">
        <is>
          <t>REQ-REG-18</t>
        </is>
      </c>
      <c r="D186" s="9" t="inlineStr">
        <is>
          <t>FileManager.record_operation enregistre 'trash'</t>
        </is>
      </c>
      <c r="E186" s="9" t="inlineStr">
        <is>
          <t>Appeler record_operation(operation_type='trash', ...) puis vérifier l'historique</t>
        </is>
      </c>
      <c r="F186" s="9" t="inlineStr">
        <is>
          <t>Auto</t>
        </is>
      </c>
      <c r="G186" s="9" t="inlineStr">
        <is>
          <t>T-001 OK</t>
        </is>
      </c>
      <c r="H186" s="9" t="inlineStr">
        <is>
          <t>—</t>
        </is>
      </c>
      <c r="I186" s="9" t="inlineStr">
        <is>
          <t>L'opération apparaît dans get_operations_history() avec op_type 'trash'</t>
        </is>
      </c>
      <c r="J186" s="9" t="inlineStr">
        <is>
          <t>pytest vert (campagne 217 passed)</t>
        </is>
      </c>
      <c r="K186" s="9" t="inlineStr">
        <is>
          <t>OK</t>
        </is>
      </c>
      <c r="L186" s="9" t="inlineStr">
        <is>
          <t>Majeur</t>
        </is>
      </c>
      <c r="M186" s="9" t="inlineStr">
        <is>
          <t>Claude (campagne auto)</t>
        </is>
      </c>
      <c r="N186" s="9" t="inlineStr">
        <is>
          <t>2026-06-12</t>
        </is>
      </c>
      <c r="O186" s="9" t="inlineStr"/>
    </row>
    <row r="187">
      <c r="A187" s="9" t="inlineStr">
        <is>
          <t>T-186</t>
        </is>
      </c>
      <c r="B187" s="9" t="inlineStr">
        <is>
          <t>Régression</t>
        </is>
      </c>
      <c r="C187" s="9" t="inlineStr">
        <is>
          <t>REQ-REG-19</t>
        </is>
      </c>
      <c r="D187" s="9" t="inlineStr">
        <is>
          <t>rollback_last sur 'trash' restaure le fichier</t>
        </is>
      </c>
      <c r="E187" s="9" t="inlineStr">
        <is>
          <t>Quarantiner + record_operation + rollback_last</t>
        </is>
      </c>
      <c r="F187" s="9" t="inlineStr">
        <is>
          <t>Auto</t>
        </is>
      </c>
      <c r="G187" s="9" t="inlineStr">
        <is>
          <t>T-185 OK</t>
        </is>
      </c>
      <c r="H187" s="9" t="inlineStr">
        <is>
          <t>—</t>
        </is>
      </c>
      <c r="I187" s="9" t="inlineStr">
        <is>
          <t>Retourne True, fichier remis à la source, historique vidé</t>
        </is>
      </c>
      <c r="J187" s="9" t="inlineStr">
        <is>
          <t>pytest vert (campagne 217 passed)</t>
        </is>
      </c>
      <c r="K187" s="9" t="inlineStr">
        <is>
          <t>OK</t>
        </is>
      </c>
      <c r="L187" s="9" t="inlineStr">
        <is>
          <t>Majeur</t>
        </is>
      </c>
      <c r="M187" s="9" t="inlineStr">
        <is>
          <t>Claude (campagne auto)</t>
        </is>
      </c>
      <c r="N187" s="9" t="inlineStr">
        <is>
          <t>2026-06-12</t>
        </is>
      </c>
      <c r="O187" s="9" t="inlineStr"/>
    </row>
    <row r="188">
      <c r="A188" s="9" t="inlineStr">
        <is>
          <t>T-187</t>
        </is>
      </c>
      <c r="B188" s="9" t="inlineStr">
        <is>
          <t>Régression</t>
        </is>
      </c>
      <c r="C188" s="9" t="inlineStr">
        <is>
          <t>REQ-REG-20</t>
        </is>
      </c>
      <c r="D188" s="9" t="inlineStr">
        <is>
          <t>rollback_all : trash récupéré, delete skipped</t>
        </is>
      </c>
      <c r="E188" s="9" t="inlineStr">
        <is>
          <t>Quarantine + record trash + delete réel + record delete, puis rollback_all</t>
        </is>
      </c>
      <c r="F188" s="9" t="inlineStr">
        <is>
          <t>Auto</t>
        </is>
      </c>
      <c r="G188" s="9" t="inlineStr">
        <is>
          <t>T-185 OK</t>
        </is>
      </c>
      <c r="H188" s="9" t="inlineStr">
        <is>
          <t>—</t>
        </is>
      </c>
      <c r="I188" s="9" t="inlineStr">
        <is>
          <t>result['success']==1 (trash), result['skipped']==1 (delete définitif), failed==0</t>
        </is>
      </c>
      <c r="J188" s="9" t="inlineStr">
        <is>
          <t>pytest vert (campagne 217 passed)</t>
        </is>
      </c>
      <c r="K188" s="9" t="inlineStr">
        <is>
          <t>OK</t>
        </is>
      </c>
      <c r="L188" s="9" t="inlineStr">
        <is>
          <t>Majeur</t>
        </is>
      </c>
      <c r="M188" s="9" t="inlineStr">
        <is>
          <t>Claude (campagne auto)</t>
        </is>
      </c>
      <c r="N188" s="9" t="inlineStr">
        <is>
          <t>2026-06-12</t>
        </is>
      </c>
      <c r="O188" s="9" t="inlineStr"/>
    </row>
    <row r="189">
      <c r="A189" s="2" t="inlineStr">
        <is>
          <t>T-188</t>
        </is>
      </c>
      <c r="B189" s="2" t="inlineStr">
        <is>
          <t>IHM</t>
        </is>
      </c>
      <c r="C189" s="2" t="inlineStr">
        <is>
          <t>REQ-IHM-43</t>
        </is>
      </c>
      <c r="D189" s="2" t="inlineStr">
        <is>
          <t>Bouton 🗑 Vider quarantaine présent</t>
        </is>
      </c>
      <c r="E189" s="2" t="inlineStr">
        <is>
          <t>Vérifier la présence du bouton dans le panneau bas de l'onglet Doublons</t>
        </is>
      </c>
      <c r="F189" s="2" t="inlineStr">
        <is>
          <t>Manuel</t>
        </is>
      </c>
      <c r="G189" s="2" t="inlineStr">
        <is>
          <t>T-001 OK</t>
        </is>
      </c>
      <c r="H189" s="2" t="inlineStr">
        <is>
          <t>—</t>
        </is>
      </c>
      <c r="I189" s="2" t="inlineStr">
        <is>
          <t>empty_quarantine_button existe, état initial = disabled (0 fichiers), libellé '🗑 Vider quarantaine (0)'</t>
        </is>
      </c>
      <c r="J189" s="2" t="inlineStr"/>
      <c r="K189" s="2" t="inlineStr">
        <is>
          <t>À faire</t>
        </is>
      </c>
      <c r="L189" s="2" t="inlineStr">
        <is>
          <t>Majeur</t>
        </is>
      </c>
      <c r="M189" s="2" t="inlineStr"/>
      <c r="N189" s="2" t="inlineStr"/>
      <c r="O189" s="2" t="inlineStr"/>
    </row>
    <row r="190">
      <c r="A190" s="2" t="inlineStr">
        <is>
          <t>T-189</t>
        </is>
      </c>
      <c r="B190" s="2" t="inlineStr">
        <is>
          <t>IHM</t>
        </is>
      </c>
      <c r="C190" s="2" t="inlineStr">
        <is>
          <t>REQ-IHM-44</t>
        </is>
      </c>
      <c r="D190" s="2" t="inlineStr">
        <is>
          <t>DuplicateManager expose l'API quarantaine</t>
        </is>
      </c>
      <c r="E190" s="2" t="inlineStr">
        <is>
          <t>Inspecter dm.empty_quarantine / quarantine_count / quarantine_size_bytes</t>
        </is>
      </c>
      <c r="F190" s="2" t="inlineStr">
        <is>
          <t>Auto</t>
        </is>
      </c>
      <c r="G190" s="2" t="inlineStr">
        <is>
          <t>T-001 OK</t>
        </is>
      </c>
      <c r="H190" s="2" t="inlineStr">
        <is>
          <t>—</t>
        </is>
      </c>
      <c r="I190" s="2" t="inlineStr">
        <is>
          <t>Les 3 méthodes sont callables, instance vide retourne 0/0</t>
        </is>
      </c>
      <c r="J190" s="2" t="inlineStr">
        <is>
          <t>pytest vert (campagne 217 passed)</t>
        </is>
      </c>
      <c r="K190" s="2" t="inlineStr">
        <is>
          <t>OK</t>
        </is>
      </c>
      <c r="L190" s="2" t="inlineStr">
        <is>
          <t>Cosmétique</t>
        </is>
      </c>
      <c r="M190" s="2" t="inlineStr">
        <is>
          <t>Claude (campagne auto)</t>
        </is>
      </c>
      <c r="N190" s="2" t="inlineStr">
        <is>
          <t>2026-06-12</t>
        </is>
      </c>
      <c r="O190" s="2" t="inlineStr"/>
    </row>
    <row r="191">
      <c r="A191" s="9" t="inlineStr">
        <is>
          <t>T-190</t>
        </is>
      </c>
      <c r="B191" s="9" t="inlineStr">
        <is>
          <t>Régression</t>
        </is>
      </c>
      <c r="C191" s="9" t="inlineStr">
        <is>
          <t>REQ-REG-21</t>
        </is>
      </c>
      <c r="D191" s="9" t="inlineStr">
        <is>
          <t>Compteur trial : état initial</t>
        </is>
      </c>
      <c r="E191" s="9" t="inlineStr">
        <is>
          <t>Premier lancement (usage.dat absent) : compteur = 0, 10 tris disponibles, pas de warning</t>
        </is>
      </c>
      <c r="F191" s="9" t="inlineStr">
        <is>
          <t>Auto</t>
        </is>
      </c>
      <c r="G191" s="9" t="inlineStr">
        <is>
          <t>—</t>
        </is>
      </c>
      <c r="H191" s="9" t="inlineStr">
        <is>
          <t>LOCALAPPDATA vierge (fixture isolée)</t>
        </is>
      </c>
      <c r="I191" s="9" t="inlineStr">
        <is>
          <t>trial_count=0, trial_remaining=10, is_blocked=False, should_warn=False</t>
        </is>
      </c>
      <c r="J191" s="9" t="inlineStr">
        <is>
          <t>pytest vert (campagne 217 passed)</t>
        </is>
      </c>
      <c r="K191" s="9" t="inlineStr">
        <is>
          <t>OK</t>
        </is>
      </c>
      <c r="L191" s="9" t="inlineStr">
        <is>
          <t>Bloquant</t>
        </is>
      </c>
      <c r="M191" s="9" t="inlineStr">
        <is>
          <t>Claude (campagne auto)</t>
        </is>
      </c>
      <c r="N191" s="9" t="inlineStr">
        <is>
          <t>2026-06-12</t>
        </is>
      </c>
      <c r="O191" s="9" t="inlineStr"/>
    </row>
    <row r="192">
      <c r="A192" s="9" t="inlineStr">
        <is>
          <t>T-191</t>
        </is>
      </c>
      <c r="B192" s="9" t="inlineStr">
        <is>
          <t>Régression</t>
        </is>
      </c>
      <c r="C192" s="9" t="inlineStr">
        <is>
          <t>REQ-REG-22</t>
        </is>
      </c>
      <c r="D192" s="9" t="inlineStr">
        <is>
          <t>Incrément du compteur après tri réussi</t>
        </is>
      </c>
      <c r="E192" s="9" t="inlineStr">
        <is>
          <t>record_successful_organize() après un tri : +1 ; jamais au simple clic ni après annulation</t>
        </is>
      </c>
      <c r="F192" s="9" t="inlineStr">
        <is>
          <t>Auto</t>
        </is>
      </c>
      <c r="G192" s="9" t="inlineStr">
        <is>
          <t>T-190 OK</t>
        </is>
      </c>
      <c r="H192" s="9" t="inlineStr">
        <is>
          <t>—</t>
        </is>
      </c>
      <c r="I192" s="9" t="inlineStr">
        <is>
          <t>count passe de 0 à 1 ; un crash ou une annulation ne consomme pas d'essai</t>
        </is>
      </c>
      <c r="J192" s="9" t="inlineStr">
        <is>
          <t>pytest vert (campagne 217 passed)</t>
        </is>
      </c>
      <c r="K192" s="9" t="inlineStr">
        <is>
          <t>OK</t>
        </is>
      </c>
      <c r="L192" s="9" t="inlineStr">
        <is>
          <t>Bloquant</t>
        </is>
      </c>
      <c r="M192" s="9" t="inlineStr">
        <is>
          <t>Claude (campagne auto)</t>
        </is>
      </c>
      <c r="N192" s="9" t="inlineStr">
        <is>
          <t>2026-06-12</t>
        </is>
      </c>
      <c r="O192" s="9" t="inlineStr"/>
    </row>
    <row r="193">
      <c r="A193" s="6" t="inlineStr">
        <is>
          <t>T-192</t>
        </is>
      </c>
      <c r="B193" s="6" t="inlineStr">
        <is>
          <t>Cas limites</t>
        </is>
      </c>
      <c r="C193" s="6" t="inlineStr">
        <is>
          <t>REQ-LIM-29</t>
        </is>
      </c>
      <c r="D193" s="6" t="inlineStr">
        <is>
          <t>10e tri autorisé, 11e bloqué</t>
        </is>
      </c>
      <c r="E193" s="6" t="inlineStr">
        <is>
          <t>Consommer 9 tris puis vérifier can_organize_now ; consommer le 10e puis re-vérifier</t>
        </is>
      </c>
      <c r="F193" s="6" t="inlineStr">
        <is>
          <t>Auto</t>
        </is>
      </c>
      <c r="G193" s="6" t="inlineStr">
        <is>
          <t>T-190 OK</t>
        </is>
      </c>
      <c r="H193" s="6" t="inlineStr">
        <is>
          <t>—</t>
        </is>
      </c>
      <c r="I193" s="6" t="inlineStr">
        <is>
          <t>10e tri allowed=True ; après le 10e : is_blocked=True, allowed=False</t>
        </is>
      </c>
      <c r="J193" s="6" t="inlineStr">
        <is>
          <t>pytest vert (campagne 217 passed)</t>
        </is>
      </c>
      <c r="K193" s="6" t="inlineStr">
        <is>
          <t>OK</t>
        </is>
      </c>
      <c r="L193" s="6" t="inlineStr">
        <is>
          <t>Bloquant</t>
        </is>
      </c>
      <c r="M193" s="6" t="inlineStr">
        <is>
          <t>Claude (campagne auto)</t>
        </is>
      </c>
      <c r="N193" s="6" t="inlineStr">
        <is>
          <t>2026-06-12</t>
        </is>
      </c>
      <c r="O193" s="6" t="inlineStr"/>
    </row>
    <row r="194">
      <c r="A194" s="9" t="inlineStr">
        <is>
          <t>T-193</t>
        </is>
      </c>
      <c r="B194" s="9" t="inlineStr">
        <is>
          <t>Régression</t>
        </is>
      </c>
      <c r="C194" s="9" t="inlineStr">
        <is>
          <t>REQ-REG-23</t>
        </is>
      </c>
      <c r="D194" s="9" t="inlineStr">
        <is>
          <t>Warnings aux seuils 8 et 9</t>
        </is>
      </c>
      <c r="E194" s="9" t="inlineStr">
        <is>
          <t>should_warn vrai uniquement à count=8 et count=9 (avant-dernier / dernier tri gratuit)</t>
        </is>
      </c>
      <c r="F194" s="9" t="inlineStr">
        <is>
          <t>Auto</t>
        </is>
      </c>
      <c r="G194" s="9" t="inlineStr">
        <is>
          <t>T-190 OK</t>
        </is>
      </c>
      <c r="H194" s="9" t="inlineStr">
        <is>
          <t>—</t>
        </is>
      </c>
      <c r="I194" s="9" t="inlineStr">
        <is>
          <t>should_warn False à 7, True à 8 et 9, False à 10 (bloqué)</t>
        </is>
      </c>
      <c r="J194" s="9" t="inlineStr">
        <is>
          <t>pytest vert (campagne 217 passed)</t>
        </is>
      </c>
      <c r="K194" s="9" t="inlineStr">
        <is>
          <t>OK</t>
        </is>
      </c>
      <c r="L194" s="9" t="inlineStr">
        <is>
          <t>Majeur</t>
        </is>
      </c>
      <c r="M194" s="9" t="inlineStr">
        <is>
          <t>Claude (campagne auto)</t>
        </is>
      </c>
      <c r="N194" s="9" t="inlineStr">
        <is>
          <t>2026-06-12</t>
        </is>
      </c>
      <c r="O194" s="9" t="inlineStr"/>
    </row>
    <row r="195">
      <c r="A195" s="8" t="inlineStr">
        <is>
          <t>T-194</t>
        </is>
      </c>
      <c r="B195" s="8" t="inlineStr">
        <is>
          <t>Robustesse</t>
        </is>
      </c>
      <c r="C195" s="8" t="inlineStr">
        <is>
          <t>REQ-ROB-26</t>
        </is>
      </c>
      <c r="D195" s="8" t="inlineStr">
        <is>
          <t>Anti-tampering usage.dat</t>
        </is>
      </c>
      <c r="E195" s="8" t="inlineStr">
        <is>
          <t>Modifier count à la main dans usage.dat sans recalculer la signature HMAC</t>
        </is>
      </c>
      <c r="F195" s="8" t="inlineStr">
        <is>
          <t>Auto</t>
        </is>
      </c>
      <c r="G195" s="8" t="inlineStr">
        <is>
          <t>T-191 OK</t>
        </is>
      </c>
      <c r="H195" s="8" t="inlineStr">
        <is>
          <t>usage.dat falsifié</t>
        </is>
      </c>
      <c r="I195" s="8" t="inlineStr">
        <is>
          <t>HMAC mismatch détecté → compteur reset à 0 (silencieux, loggé warning)</t>
        </is>
      </c>
      <c r="J195" s="8" t="inlineStr">
        <is>
          <t>pytest vert (campagne 217 passed)</t>
        </is>
      </c>
      <c r="K195" s="8" t="inlineStr">
        <is>
          <t>OK</t>
        </is>
      </c>
      <c r="L195" s="8" t="inlineStr">
        <is>
          <t>Majeur</t>
        </is>
      </c>
      <c r="M195" s="8" t="inlineStr">
        <is>
          <t>Claude (campagne auto)</t>
        </is>
      </c>
      <c r="N195" s="8" t="inlineStr">
        <is>
          <t>2026-06-12</t>
        </is>
      </c>
      <c r="O195" s="8" t="inlineStr"/>
    </row>
    <row r="196">
      <c r="A196" s="9" t="inlineStr">
        <is>
          <t>T-195</t>
        </is>
      </c>
      <c r="B196" s="9" t="inlineStr">
        <is>
          <t>Régression</t>
        </is>
      </c>
      <c r="C196" s="9" t="inlineStr">
        <is>
          <t>REQ-REG-24</t>
        </is>
      </c>
      <c r="D196" s="9" t="inlineStr">
        <is>
          <t>Activation clé valide → illimité</t>
        </is>
      </c>
      <c r="E196" s="9" t="inlineStr">
        <is>
          <t>activate_key(clé LIFE signée) après 5 tris consommés</t>
        </is>
      </c>
      <c r="F196" s="9" t="inlineStr">
        <is>
          <t>Auto</t>
        </is>
      </c>
      <c r="G196" s="9" t="inlineStr">
        <is>
          <t>T-190 OK</t>
        </is>
      </c>
      <c r="H196" s="9" t="inlineStr">
        <is>
          <t>Clé HMAC valide</t>
        </is>
      </c>
      <c r="I196" s="9" t="inlineStr">
        <is>
          <t>has_valid_license=True, can_organize_now=True quel que soit le compteur, email exposé</t>
        </is>
      </c>
      <c r="J196" s="9" t="inlineStr">
        <is>
          <t>pytest vert (campagne 217 passed)</t>
        </is>
      </c>
      <c r="K196" s="9" t="inlineStr">
        <is>
          <t>OK</t>
        </is>
      </c>
      <c r="L196" s="9" t="inlineStr">
        <is>
          <t>Bloquant</t>
        </is>
      </c>
      <c r="M196" s="9" t="inlineStr">
        <is>
          <t>Claude (campagne auto)</t>
        </is>
      </c>
      <c r="N196" s="9" t="inlineStr">
        <is>
          <t>2026-06-12</t>
        </is>
      </c>
      <c r="O196" s="9" t="inlineStr"/>
    </row>
    <row r="197">
      <c r="A197" s="8" t="inlineStr">
        <is>
          <t>T-196</t>
        </is>
      </c>
      <c r="B197" s="8" t="inlineStr">
        <is>
          <t>Robustesse</t>
        </is>
      </c>
      <c r="C197" s="8" t="inlineStr">
        <is>
          <t>REQ-ROB-27</t>
        </is>
      </c>
      <c r="D197" s="8" t="inlineStr">
        <is>
          <t>Machine binding : clé refusée sur autre PC</t>
        </is>
      </c>
      <c r="E197" s="8" t="inlineStr">
        <is>
          <t>Activer sur machine A (fingerprint a*64) puis recharger l'état avec fingerprint b*64</t>
        </is>
      </c>
      <c r="F197" s="8" t="inlineStr">
        <is>
          <t>Auto</t>
        </is>
      </c>
      <c r="G197" s="8" t="inlineStr">
        <is>
          <t>T-195 OK</t>
        </is>
      </c>
      <c r="H197" s="8" t="inlineStr">
        <is>
          <t>license.dat bound machine A</t>
        </is>
      </c>
      <c r="I197" s="8" t="inlineStr">
        <is>
          <t>has_valid_license=False sur machine B (binding vérifié à chaque load)</t>
        </is>
      </c>
      <c r="J197" s="8" t="inlineStr">
        <is>
          <t>pytest vert (campagne 217 passed)</t>
        </is>
      </c>
      <c r="K197" s="8" t="inlineStr">
        <is>
          <t>OK</t>
        </is>
      </c>
      <c r="L197" s="8" t="inlineStr">
        <is>
          <t>Majeur</t>
        </is>
      </c>
      <c r="M197" s="8" t="inlineStr">
        <is>
          <t>Claude (campagne auto)</t>
        </is>
      </c>
      <c r="N197" s="8" t="inlineStr">
        <is>
          <t>2026-06-12</t>
        </is>
      </c>
      <c r="O197" s="8" t="inlineStr"/>
    </row>
    <row r="198">
      <c r="A198" s="8" t="inlineStr">
        <is>
          <t>T-197</t>
        </is>
      </c>
      <c r="B198" s="8" t="inlineStr">
        <is>
          <t>Robustesse</t>
        </is>
      </c>
      <c r="C198" s="8" t="inlineStr">
        <is>
          <t>REQ-ROB-28</t>
        </is>
      </c>
      <c r="D198" s="8" t="inlineStr">
        <is>
          <t>Licence re-validée au relancement</t>
        </is>
      </c>
      <c r="E198" s="8" t="inlineStr">
        <is>
          <t>Activer puis simuler un redémarrage de l'app (re-lecture license.dat, même machine)</t>
        </is>
      </c>
      <c r="F198" s="8" t="inlineStr">
        <is>
          <t>Auto</t>
        </is>
      </c>
      <c r="G198" s="8" t="inlineStr">
        <is>
          <t>T-195 OK</t>
        </is>
      </c>
      <c r="H198" s="8" t="inlineStr">
        <is>
          <t>—</t>
        </is>
      </c>
      <c r="I198" s="8" t="inlineStr">
        <is>
          <t>has_valid_license=True, email conservé</t>
        </is>
      </c>
      <c r="J198" s="8" t="inlineStr">
        <is>
          <t>pytest vert (campagne 217 passed)</t>
        </is>
      </c>
      <c r="K198" s="8" t="inlineStr">
        <is>
          <t>OK</t>
        </is>
      </c>
      <c r="L198" s="8" t="inlineStr">
        <is>
          <t>Majeur</t>
        </is>
      </c>
      <c r="M198" s="8" t="inlineStr">
        <is>
          <t>Claude (campagne auto)</t>
        </is>
      </c>
      <c r="N198" s="8" t="inlineStr">
        <is>
          <t>2026-06-12</t>
        </is>
      </c>
      <c r="O198" s="8" t="inlineStr"/>
    </row>
    <row r="199">
      <c r="A199" s="8" t="inlineStr">
        <is>
          <t>T-198</t>
        </is>
      </c>
      <c r="B199" s="8" t="inlineStr">
        <is>
          <t>Robustesse</t>
        </is>
      </c>
      <c r="C199" s="8" t="inlineStr">
        <is>
          <t>REQ-ROB-29</t>
        </is>
      </c>
      <c r="D199" s="8" t="inlineStr">
        <is>
          <t>Clé malformée rejetée</t>
        </is>
      </c>
      <c r="E199" s="8" t="inlineStr">
        <is>
          <t>activate_key('not a real key') après 3 tris</t>
        </is>
      </c>
      <c r="F199" s="8" t="inlineStr">
        <is>
          <t>Auto</t>
        </is>
      </c>
      <c r="G199" s="8" t="inlineStr">
        <is>
          <t>T-190 OK</t>
        </is>
      </c>
      <c r="H199" s="8" t="inlineStr">
        <is>
          <t>Chaîne arbitraire</t>
        </is>
      </c>
      <c r="I199" s="8" t="inlineStr">
        <is>
          <t>LicenseInvalidError levée, compteur intact (toujours 3)</t>
        </is>
      </c>
      <c r="J199" s="8" t="inlineStr">
        <is>
          <t>pytest vert (campagne 217 passed)</t>
        </is>
      </c>
      <c r="K199" s="8" t="inlineStr">
        <is>
          <t>OK</t>
        </is>
      </c>
      <c r="L199" s="8" t="inlineStr">
        <is>
          <t>Majeur</t>
        </is>
      </c>
      <c r="M199" s="8" t="inlineStr">
        <is>
          <t>Claude (campagne auto)</t>
        </is>
      </c>
      <c r="N199" s="8" t="inlineStr">
        <is>
          <t>2026-06-12</t>
        </is>
      </c>
      <c r="O199" s="8" t="inlineStr"/>
    </row>
    <row r="200">
      <c r="A200" s="8" t="inlineStr">
        <is>
          <t>T-199</t>
        </is>
      </c>
      <c r="B200" s="8" t="inlineStr">
        <is>
          <t>Robustesse</t>
        </is>
      </c>
      <c r="C200" s="8" t="inlineStr">
        <is>
          <t>REQ-ROB-30</t>
        </is>
      </c>
      <c r="D200" s="8" t="inlineStr">
        <is>
          <t>Clé expirée rejetée</t>
        </is>
      </c>
      <c r="E200" s="8" t="inlineStr">
        <is>
          <t>activate_key(clé signée mais date d'expiration passée)</t>
        </is>
      </c>
      <c r="F200" s="8" t="inlineStr">
        <is>
          <t>Auto</t>
        </is>
      </c>
      <c r="G200" s="8" t="inlineStr">
        <is>
          <t>T-190 OK</t>
        </is>
      </c>
      <c r="H200" s="8" t="inlineStr">
        <is>
          <t>Clé expirée (exp = hier)</t>
        </is>
      </c>
      <c r="I200" s="8" t="inlineStr">
        <is>
          <t>LicenseExpiredError levée, pas d'activation</t>
        </is>
      </c>
      <c r="J200" s="8" t="inlineStr">
        <is>
          <t>pytest vert (campagne 217 passed)</t>
        </is>
      </c>
      <c r="K200" s="8" t="inlineStr">
        <is>
          <t>OK</t>
        </is>
      </c>
      <c r="L200" s="8" t="inlineStr">
        <is>
          <t>Majeur</t>
        </is>
      </c>
      <c r="M200" s="8" t="inlineStr">
        <is>
          <t>Claude (campagne auto)</t>
        </is>
      </c>
      <c r="N200" s="8" t="inlineStr">
        <is>
          <t>2026-06-12</t>
        </is>
      </c>
      <c r="O200" s="8" t="inlineStr"/>
    </row>
    <row r="201">
      <c r="A201" s="2" t="inlineStr">
        <is>
          <t>T-200</t>
        </is>
      </c>
      <c r="B201" s="2" t="inlineStr">
        <is>
          <t>IHM</t>
        </is>
      </c>
      <c r="C201" s="2" t="inlineStr">
        <is>
          <t>REQ-IHM-45</t>
        </is>
      </c>
      <c r="D201" s="2" t="inlineStr">
        <is>
          <t>Badge licence dans le header</t>
        </is>
      </c>
      <c r="E201" s="2" t="inlineStr">
        <is>
          <t>Texte du badge selon l'état : essai / limite / activée</t>
        </is>
      </c>
      <c r="F201" s="2" t="inlineStr">
        <is>
          <t>Auto</t>
        </is>
      </c>
      <c r="G201" s="2" t="inlineStr">
        <is>
          <t>T-001 OK</t>
        </is>
      </c>
      <c r="H201" s="2" t="inlineStr">
        <is>
          <t>—</t>
        </is>
      </c>
      <c r="I201" s="2" t="inlineStr">
        <is>
          <t>« Essai N/10 » (gris, orange si N≥8) / « Limite atteinte · Activer » (rouge) / « Activée · MAC-XXXX-XXXX » (vert)</t>
        </is>
      </c>
      <c r="J201" s="2" t="inlineStr">
        <is>
          <t>pytest vert (campagne 217 passed)</t>
        </is>
      </c>
      <c r="K201" s="2" t="inlineStr">
        <is>
          <t>OK</t>
        </is>
      </c>
      <c r="L201" s="2" t="inlineStr">
        <is>
          <t>Majeur</t>
        </is>
      </c>
      <c r="M201" s="2" t="inlineStr">
        <is>
          <t>Claude (campagne auto)</t>
        </is>
      </c>
      <c r="N201" s="2" t="inlineStr">
        <is>
          <t>2026-06-12</t>
        </is>
      </c>
      <c r="O201" s="2" t="inlineStr"/>
    </row>
    <row r="202">
      <c r="A202" s="2" t="inlineStr">
        <is>
          <t>T-201</t>
        </is>
      </c>
      <c r="B202" s="2" t="inlineStr">
        <is>
          <t>IHM</t>
        </is>
      </c>
      <c r="C202" s="2" t="inlineStr">
        <is>
          <t>REQ-IHM-46</t>
        </is>
      </c>
      <c r="D202" s="2" t="inlineStr">
        <is>
          <t>Blocage : panneau d'activation inline</t>
        </is>
      </c>
      <c r="E202" s="2" t="inlineStr">
        <is>
          <t>À 11 tris sans licence, clic 🚀 Organiser ouvre le panneau d'activation DANS l'onglet</t>
        </is>
      </c>
      <c r="F202" s="2" t="inlineStr">
        <is>
          <t>Auto</t>
        </is>
      </c>
      <c r="G202" s="2" t="inlineStr">
        <is>
          <t>T-192 OK</t>
        </is>
      </c>
      <c r="H202" s="2" t="inlineStr">
        <is>
          <t>usage.dat simulé count=11</t>
        </is>
      </c>
      <c r="I202" s="2" t="inlineStr">
        <is>
          <t>Panneau inline créé (_inline_panel non None), AUCUNE fenêtre Toplevel (invariant projet)</t>
        </is>
      </c>
      <c r="J202" s="2" t="inlineStr">
        <is>
          <t>pytest vert (campagne 217 passed)</t>
        </is>
      </c>
      <c r="K202" s="2" t="inlineStr">
        <is>
          <t>OK</t>
        </is>
      </c>
      <c r="L202" s="2" t="inlineStr">
        <is>
          <t>Bloquant</t>
        </is>
      </c>
      <c r="M202" s="2" t="inlineStr">
        <is>
          <t>Claude (campagne auto)</t>
        </is>
      </c>
      <c r="N202" s="2" t="inlineStr">
        <is>
          <t>2026-06-12</t>
        </is>
      </c>
      <c r="O202" s="2" t="inlineStr"/>
    </row>
    <row r="203">
      <c r="A203" s="2" t="inlineStr">
        <is>
          <t>T-202</t>
        </is>
      </c>
      <c r="B203" s="2" t="inlineStr">
        <is>
          <t>IHM</t>
        </is>
      </c>
      <c r="C203" s="2" t="inlineStr">
        <is>
          <t>REQ-IHM-47</t>
        </is>
      </c>
      <c r="D203" s="2" t="inlineStr">
        <is>
          <t>Contenu du panneau d'activation</t>
        </is>
      </c>
      <c r="E203" s="2" t="inlineStr">
        <is>
          <t>Vérifier les composants : champ clé, Activer, 🛒 Acheter (10 €), ℹ️ Comment ça marche, ID machine MAC-XXXX-XXXX</t>
        </is>
      </c>
      <c r="F203" s="2" t="inlineStr">
        <is>
          <t>Auto</t>
        </is>
      </c>
      <c r="G203" s="2" t="inlineStr">
        <is>
          <t>T-201 OK</t>
        </is>
      </c>
      <c r="H203" s="2" t="inlineStr">
        <is>
          <t>—</t>
        </is>
      </c>
      <c r="I203" s="2" t="inlineStr">
        <is>
          <t>Tous les composants présents ; feedback inline localisé (clé invalide / autre PC / expirée)</t>
        </is>
      </c>
      <c r="J203" s="2" t="inlineStr">
        <is>
          <t>pytest vert (campagne 217 passed)</t>
        </is>
      </c>
      <c r="K203" s="2" t="inlineStr">
        <is>
          <t>OK</t>
        </is>
      </c>
      <c r="L203" s="2" t="inlineStr">
        <is>
          <t>Majeur</t>
        </is>
      </c>
      <c r="M203" s="2" t="inlineStr">
        <is>
          <t>Claude (campagne auto)</t>
        </is>
      </c>
      <c r="N203" s="2" t="inlineStr">
        <is>
          <t>2026-06-12</t>
        </is>
      </c>
      <c r="O203" s="2" t="inlineStr"/>
    </row>
    <row r="204">
      <c r="A204" s="9" t="inlineStr">
        <is>
          <t>T-203</t>
        </is>
      </c>
      <c r="B204" s="9" t="inlineStr">
        <is>
          <t>Régression</t>
        </is>
      </c>
      <c r="C204" s="9" t="inlineStr">
        <is>
          <t>REQ-REG-25</t>
        </is>
      </c>
      <c r="D204" s="9" t="inlineStr">
        <is>
          <t>Worker organisation : fin de tri complète (B-01)</t>
        </is>
      </c>
      <c r="E204" s="9" t="inlineStr">
        <is>
          <t>Tri réel de 2 JPEG via le worker UI : résultats affichés + compteur incrémenté (régression : result.success inexistant tuait le thread en silence)</t>
        </is>
      </c>
      <c r="F204" s="9" t="inlineStr">
        <is>
          <t>Auto</t>
        </is>
      </c>
      <c r="G204" s="9" t="inlineStr">
        <is>
          <t>T-001 OK</t>
        </is>
      </c>
      <c r="H204" s="9" t="inlineStr">
        <is>
          <t>2 JPEG temporaires</t>
        </is>
      </c>
      <c r="I204" s="9" t="inlineStr">
        <is>
          <t>record_successful_organize appelé 1 fois, panneau « ✅ Organisation terminée » affiché, fichiers copiés</t>
        </is>
      </c>
      <c r="J204" s="9" t="inlineStr">
        <is>
          <t>pytest vert (campagne 217 passed)</t>
        </is>
      </c>
      <c r="K204" s="9" t="inlineStr">
        <is>
          <t>OK</t>
        </is>
      </c>
      <c r="L204" s="9" t="inlineStr">
        <is>
          <t>Bloquant</t>
        </is>
      </c>
      <c r="M204" s="9" t="inlineStr">
        <is>
          <t>Claude (campagne auto)</t>
        </is>
      </c>
      <c r="N204" s="9" t="inlineStr">
        <is>
          <t>2026-06-12</t>
        </is>
      </c>
      <c r="O204" s="9" t="inlineStr"/>
    </row>
    <row r="205">
      <c r="A205" s="9" t="inlineStr">
        <is>
          <t>T-204</t>
        </is>
      </c>
      <c r="B205" s="9" t="inlineStr">
        <is>
          <t>Régression</t>
        </is>
      </c>
      <c r="C205" s="9" t="inlineStr">
        <is>
          <t>REQ-REG-26</t>
        </is>
      </c>
      <c r="D205" s="9" t="inlineStr">
        <is>
          <t>Historique persistant entre tris (B-04)</t>
        </is>
      </c>
      <c r="E205" s="9" t="inlineStr">
        <is>
          <t>copy_file puis start_session() : l'historique ne doit plus être purgé (FileManager partagé entre onglets)</t>
        </is>
      </c>
      <c r="F205" s="9" t="inlineStr">
        <is>
          <t>Auto</t>
        </is>
      </c>
      <c r="G205" s="9" t="inlineStr">
        <is>
          <t>T-001 OK</t>
        </is>
      </c>
      <c r="H205" s="9" t="inlineStr">
        <is>
          <t>—</t>
        </is>
      </c>
      <c r="I205" s="9" t="inlineStr">
        <is>
          <t>Historique conservé après start_session ; vidé uniquement par rollback_all / clear_history</t>
        </is>
      </c>
      <c r="J205" s="9" t="inlineStr">
        <is>
          <t>pytest vert (campagne 217 passed)</t>
        </is>
      </c>
      <c r="K205" s="9" t="inlineStr">
        <is>
          <t>OK</t>
        </is>
      </c>
      <c r="L205" s="9" t="inlineStr">
        <is>
          <t>Majeur</t>
        </is>
      </c>
      <c r="M205" s="9" t="inlineStr">
        <is>
          <t>Claude (campagne auto)</t>
        </is>
      </c>
      <c r="N205" s="9" t="inlineStr">
        <is>
          <t>2026-06-12</t>
        </is>
      </c>
      <c r="O205" s="9" t="inlineStr"/>
    </row>
    <row r="206">
      <c r="A206" s="9" t="inlineStr">
        <is>
          <t>T-205</t>
        </is>
      </c>
      <c r="B206" s="9" t="inlineStr">
        <is>
          <t>Régression</t>
        </is>
      </c>
      <c r="C206" s="9" t="inlineStr">
        <is>
          <t>REQ-REG-27</t>
        </is>
      </c>
      <c r="D206" s="9" t="inlineStr">
        <is>
          <t>Doublons historisés via FileManager injecté (Lot D)</t>
        </is>
      </c>
      <c r="E206" s="9" t="inlineStr">
        <is>
          <t>DuplicateManager(config, file_manager=fm_partagé) : les opérations trash/move/delete vont dans l'historique affiché</t>
        </is>
      </c>
      <c r="F206" s="9" t="inlineStr">
        <is>
          <t>Auto</t>
        </is>
      </c>
      <c r="G206" s="9" t="inlineStr">
        <is>
          <t>T-001 OK</t>
        </is>
      </c>
      <c r="H206" s="9" t="inlineStr">
        <is>
          <t>—</t>
        </is>
      </c>
      <c r="I206" s="9" t="inlineStr">
        <is>
          <t>mgr.file_manager is fm_partagé ; par défaut instance privée (pas de singleton caché)</t>
        </is>
      </c>
      <c r="J206" s="9" t="inlineStr">
        <is>
          <t>pytest vert (campagne 217 passed)</t>
        </is>
      </c>
      <c r="K206" s="9" t="inlineStr">
        <is>
          <t>OK</t>
        </is>
      </c>
      <c r="L206" s="9" t="inlineStr">
        <is>
          <t>Majeur</t>
        </is>
      </c>
      <c r="M206" s="9" t="inlineStr">
        <is>
          <t>Claude (campagne auto)</t>
        </is>
      </c>
      <c r="N206" s="9" t="inlineStr">
        <is>
          <t>2026-06-12</t>
        </is>
      </c>
      <c r="O206" s="9" t="inlineStr"/>
    </row>
    <row r="207">
      <c r="A207" s="9" t="inlineStr">
        <is>
          <t>T-206</t>
        </is>
      </c>
      <c r="B207" s="9" t="inlineStr">
        <is>
          <t>Régression</t>
        </is>
      </c>
      <c r="C207" s="9" t="inlineStr">
        <is>
          <t>REQ-REG-28</t>
        </is>
      </c>
      <c r="D207" s="9" t="inlineStr">
        <is>
          <t>Purge cache au démarrage (B-09)</t>
        </is>
      </c>
      <c r="E207" s="9" t="inlineStr">
        <is>
          <t>MetadataCache.purge() : éviction des entrées les plus anciennes au-delà de max_size + entrées expirées</t>
        </is>
      </c>
      <c r="F207" s="9" t="inlineStr">
        <is>
          <t>Auto</t>
        </is>
      </c>
      <c r="G207" s="9" t="inlineStr">
        <is>
          <t>—</t>
        </is>
      </c>
      <c r="H207" s="9" t="inlineStr">
        <is>
          <t>5 entrées cache &gt; limite</t>
        </is>
      </c>
      <c r="I207" s="9" t="inlineStr">
        <is>
          <t>evicted &gt; 0, taille disque finale ≤ max_size</t>
        </is>
      </c>
      <c r="J207" s="9" t="inlineStr">
        <is>
          <t>pytest vert (campagne 217 passed)</t>
        </is>
      </c>
      <c r="K207" s="9" t="inlineStr">
        <is>
          <t>OK</t>
        </is>
      </c>
      <c r="L207" s="9" t="inlineStr">
        <is>
          <t>Mineur</t>
        </is>
      </c>
      <c r="M207" s="9" t="inlineStr">
        <is>
          <t>Claude (campagne auto)</t>
        </is>
      </c>
      <c r="N207" s="9" t="inlineStr">
        <is>
          <t>2026-06-12</t>
        </is>
      </c>
      <c r="O207" s="9" t="inlineStr"/>
    </row>
    <row r="208">
      <c r="A208" s="9" t="inlineStr">
        <is>
          <t>T-207</t>
        </is>
      </c>
      <c r="B208" s="9" t="inlineStr">
        <is>
          <t>Régression</t>
        </is>
      </c>
      <c r="C208" s="9" t="inlineStr">
        <is>
          <t>REQ-REG-29</t>
        </is>
      </c>
      <c r="D208" s="9" t="inlineStr">
        <is>
          <t>Version unique (B-10)</t>
        </is>
      </c>
      <c r="E208" s="9" t="inlineStr">
        <is>
          <t>PhotoOrganizerApp.APP_VERSION == src.__version__ (plus de hardcode divergent)</t>
        </is>
      </c>
      <c r="F208" s="9" t="inlineStr">
        <is>
          <t>Auto</t>
        </is>
      </c>
      <c r="G208" s="9" t="inlineStr">
        <is>
          <t>—</t>
        </is>
      </c>
      <c r="H208" s="9" t="inlineStr">
        <is>
          <t>—</t>
        </is>
      </c>
      <c r="I208" s="9" t="inlineStr">
        <is>
          <t>Égalité stricte avec la source de vérité src/__init__.py</t>
        </is>
      </c>
      <c r="J208" s="9" t="inlineStr">
        <is>
          <t>pytest vert (campagne 217 passed)</t>
        </is>
      </c>
      <c r="K208" s="9" t="inlineStr">
        <is>
          <t>OK</t>
        </is>
      </c>
      <c r="L208" s="9" t="inlineStr">
        <is>
          <t>Mineur</t>
        </is>
      </c>
      <c r="M208" s="9" t="inlineStr">
        <is>
          <t>Claude (campagne auto)</t>
        </is>
      </c>
      <c r="N208" s="9" t="inlineStr">
        <is>
          <t>2026-06-12</t>
        </is>
      </c>
      <c r="O208" s="9" t="inlineStr"/>
    </row>
    <row r="209">
      <c r="A209" s="2" t="inlineStr">
        <is>
          <t>T-208</t>
        </is>
      </c>
      <c r="B209" s="2" t="inlineStr">
        <is>
          <t>IHM</t>
        </is>
      </c>
      <c r="C209" s="2" t="inlineStr">
        <is>
          <t>REQ-IHM-48</t>
        </is>
      </c>
      <c r="D209" s="2" t="inlineStr">
        <is>
          <t>Aperçu dry-run : critère lieu + non-bloquant (B-06/B-07)</t>
        </is>
      </c>
      <c r="E209" s="2" t="inlineStr">
        <is>
          <t>Cocher « Par localisation GPS » puis 👁 Aperçu sur input_gps_piexif</t>
        </is>
      </c>
      <c r="F209" s="2" t="inlineStr">
        <is>
          <t>Manuel</t>
        </is>
      </c>
      <c r="G209" s="2" t="inlineStr">
        <is>
          <t>T-001 OK</t>
        </is>
      </c>
      <c r="H209" s="2" t="inlineStr">
        <is>
          <t>input_gps_piexif/</t>
        </is>
      </c>
      <c r="I209" s="2" t="inlineStr">
        <is>
          <t>Arborescence montre Lat_x_Lon_y / « Sans localisation GPS » ; UI reste réactive pendant le calcul (worker)</t>
        </is>
      </c>
      <c r="J209" s="2" t="inlineStr"/>
      <c r="K209" s="2" t="inlineStr">
        <is>
          <t>À faire</t>
        </is>
      </c>
      <c r="L209" s="2" t="inlineStr">
        <is>
          <t>Mineur</t>
        </is>
      </c>
      <c r="M209" s="2" t="inlineStr"/>
      <c r="N209" s="2" t="inlineStr"/>
      <c r="O209" s="2" t="inlineStr"/>
    </row>
    <row r="210">
      <c r="A210" s="2" t="inlineStr">
        <is>
          <t>T-209</t>
        </is>
      </c>
      <c r="B210" s="2" t="inlineStr">
        <is>
          <t>IHM</t>
        </is>
      </c>
      <c r="C210" s="2" t="inlineStr">
        <is>
          <t>REQ-IHM-49</t>
        </is>
      </c>
      <c r="D210" s="2" t="inlineStr">
        <is>
          <t>Libellé « Quarantaine » dans l'Historique (B-08)</t>
        </is>
      </c>
      <c r="E210" s="2" t="inlineStr">
        <is>
          <t>Mettre un doublon en quarantaine puis ouvrir l'onglet Historique</t>
        </is>
      </c>
      <c r="F210" s="2" t="inlineStr">
        <is>
          <t>Manuel</t>
        </is>
      </c>
      <c r="G210" s="2" t="inlineStr">
        <is>
          <t>T-176 OK</t>
        </is>
      </c>
      <c r="H210" s="2" t="inlineStr">
        <is>
          <t>input_doublons/</t>
        </is>
      </c>
      <c r="I210" s="2" t="inlineStr">
        <is>
          <t>L'opération s'affiche « Quarantaine » (plus le type brut 'trash')</t>
        </is>
      </c>
      <c r="J210" s="2" t="inlineStr"/>
      <c r="K210" s="2" t="inlineStr">
        <is>
          <t>À faire</t>
        </is>
      </c>
      <c r="L210" s="2" t="inlineStr">
        <is>
          <t>Cosmétique</t>
        </is>
      </c>
      <c r="M210" s="2" t="inlineStr"/>
      <c r="N210" s="2" t="inlineStr"/>
      <c r="O210" s="2" t="inlineStr"/>
    </row>
    <row r="211">
      <c r="A211" s="9" t="inlineStr">
        <is>
          <t>T-210</t>
        </is>
      </c>
      <c r="B211" s="9" t="inlineStr">
        <is>
          <t>Régression</t>
        </is>
      </c>
      <c r="C211" s="9" t="inlineStr">
        <is>
          <t>REQ-REG-30</t>
        </is>
      </c>
      <c r="D211" s="9" t="inlineStr">
        <is>
          <t>Références déterministes (ANO-Q1)</t>
        </is>
      </c>
      <c r="E211" s="9" t="inlineStr">
        <is>
          <t>compare_outputs.py : T-079 reproductible (mtime des fixtures sans EXIF figé au 2026-05-11)</t>
        </is>
      </c>
      <c r="F211" s="9" t="inlineStr">
        <is>
          <t>Auto</t>
        </is>
      </c>
      <c r="G211" s="9" t="inlineStr">
        <is>
          <t>Inputs générés</t>
        </is>
      </c>
      <c r="H211" s="9" t="inlineStr">
        <is>
          <t>input_pas_exif/</t>
        </is>
      </c>
      <c r="I211" s="9" t="inlineStr">
        <is>
          <t>9/9 références conformes, indépendant de la date de régénération des inputs</t>
        </is>
      </c>
      <c r="J211" s="9" t="inlineStr">
        <is>
          <t>compare_outputs.py : 9/9 OK (mtime fixtures figé)</t>
        </is>
      </c>
      <c r="K211" s="9" t="inlineStr">
        <is>
          <t>OK</t>
        </is>
      </c>
      <c r="L211" s="9" t="inlineStr">
        <is>
          <t>Majeur</t>
        </is>
      </c>
      <c r="M211" s="9" t="inlineStr">
        <is>
          <t>Claude (campagne auto)</t>
        </is>
      </c>
      <c r="N211" s="9" t="inlineStr">
        <is>
          <t>2026-06-12</t>
        </is>
      </c>
      <c r="O211" s="9" t="inlineStr"/>
    </row>
  </sheetData>
  <dataValidations count="3">
    <dataValidation sqref="K2:K211" showDropDown="0" showInputMessage="0" showErrorMessage="0" allowBlank="1" type="list">
      <formula1>"OK,NOK,NA,À faire,Retiré"</formula1>
    </dataValidation>
    <dataValidation sqref="L2:L211" showDropDown="0" showInputMessage="0" showErrorMessage="0" allowBlank="1" type="list">
      <formula1>"Bloquant,Majeur,Mineur,Cosmétique"</formula1>
    </dataValidation>
    <dataValidation sqref="F2:F211" showDropDown="0" showInputMessage="0" showErrorMessage="0" allowBlank="1" type="list">
      <formula1>"Auto,Manuel"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0" t="inlineStr">
        <is>
          <t>Synthèse des tests — PhotoOrganizer 2.3.0.dev0 (campagne 2026-06-12 : pivot trial+unlock + audit lots A-F)</t>
        </is>
      </c>
    </row>
    <row r="3">
      <c r="A3" s="1" t="inlineStr">
        <is>
          <t>Catégorie</t>
        </is>
      </c>
      <c r="B3" s="1" t="inlineStr">
        <is>
          <t>Total</t>
        </is>
      </c>
      <c r="C3" s="1" t="inlineStr">
        <is>
          <t>OK</t>
        </is>
      </c>
      <c r="D3" s="1" t="inlineStr">
        <is>
          <t>NOK</t>
        </is>
      </c>
      <c r="E3" s="1" t="inlineStr">
        <is>
          <t>NA</t>
        </is>
      </c>
      <c r="F3" s="1" t="inlineStr">
        <is>
          <t>À faire</t>
        </is>
      </c>
      <c r="G3" s="1" t="inlineStr">
        <is>
          <t>Taux OK (%)</t>
        </is>
      </c>
    </row>
    <row r="4">
      <c r="A4" s="11" t="inlineStr">
        <is>
          <t>IHM</t>
        </is>
      </c>
      <c r="B4" s="11">
        <f>COUNTIF(Tests!B:B,A4)</f>
        <v/>
      </c>
      <c r="C4" s="11">
        <f>COUNTIFS(Tests!B:B,A4,Tests!K:K,"OK")</f>
        <v/>
      </c>
      <c r="D4" s="11">
        <f>COUNTIFS(Tests!B:B,A4,Tests!K:K,"NOK")</f>
        <v/>
      </c>
      <c r="E4" s="11">
        <f>COUNTIFS(Tests!B:B,A4,Tests!K:K,"NA")</f>
        <v/>
      </c>
      <c r="F4" s="11">
        <f>COUNTIFS(Tests!B:B,A4,Tests!K:K,"À faire")</f>
        <v/>
      </c>
      <c r="G4" s="11">
        <f>IF(B4=0,"-",ROUND(C4/B4*100,1))</f>
        <v/>
      </c>
    </row>
    <row r="5">
      <c r="A5" s="11" t="inlineStr">
        <is>
          <t>Paramètres</t>
        </is>
      </c>
      <c r="B5" s="11">
        <f>COUNTIF(Tests!B:B,A5)</f>
        <v/>
      </c>
      <c r="C5" s="11">
        <f>COUNTIFS(Tests!B:B,A5,Tests!K:K,"OK")</f>
        <v/>
      </c>
      <c r="D5" s="11">
        <f>COUNTIFS(Tests!B:B,A5,Tests!K:K,"NOK")</f>
        <v/>
      </c>
      <c r="E5" s="11">
        <f>COUNTIFS(Tests!B:B,A5,Tests!K:K,"NA")</f>
        <v/>
      </c>
      <c r="F5" s="11">
        <f>COUNTIFS(Tests!B:B,A5,Tests!K:K,"À faire")</f>
        <v/>
      </c>
      <c r="G5" s="11">
        <f>IF(B5=0,"-",ROUND(C5/B5*100,1))</f>
        <v/>
      </c>
    </row>
    <row r="6">
      <c r="A6" s="11" t="inlineStr">
        <is>
          <t>Entrées</t>
        </is>
      </c>
      <c r="B6" s="11">
        <f>COUNTIF(Tests!B:B,A6)</f>
        <v/>
      </c>
      <c r="C6" s="11">
        <f>COUNTIFS(Tests!B:B,A6,Tests!K:K,"OK")</f>
        <v/>
      </c>
      <c r="D6" s="11">
        <f>COUNTIFS(Tests!B:B,A6,Tests!K:K,"NOK")</f>
        <v/>
      </c>
      <c r="E6" s="11">
        <f>COUNTIFS(Tests!B:B,A6,Tests!K:K,"NA")</f>
        <v/>
      </c>
      <c r="F6" s="11">
        <f>COUNTIFS(Tests!B:B,A6,Tests!K:K,"À faire")</f>
        <v/>
      </c>
      <c r="G6" s="11">
        <f>IF(B6=0,"-",ROUND(C6/B6*100,1))</f>
        <v/>
      </c>
    </row>
    <row r="7">
      <c r="A7" s="11" t="inlineStr">
        <is>
          <t>Sorties</t>
        </is>
      </c>
      <c r="B7" s="11">
        <f>COUNTIF(Tests!B:B,A7)</f>
        <v/>
      </c>
      <c r="C7" s="11">
        <f>COUNTIFS(Tests!B:B,A7,Tests!K:K,"OK")</f>
        <v/>
      </c>
      <c r="D7" s="11">
        <f>COUNTIFS(Tests!B:B,A7,Tests!K:K,"NOK")</f>
        <v/>
      </c>
      <c r="E7" s="11">
        <f>COUNTIFS(Tests!B:B,A7,Tests!K:K,"NA")</f>
        <v/>
      </c>
      <c r="F7" s="11">
        <f>COUNTIFS(Tests!B:B,A7,Tests!K:K,"À faire")</f>
        <v/>
      </c>
      <c r="G7" s="11">
        <f>IF(B7=0,"-",ROUND(C7/B7*100,1))</f>
        <v/>
      </c>
    </row>
    <row r="8">
      <c r="A8" s="11" t="inlineStr">
        <is>
          <t>Cas limites</t>
        </is>
      </c>
      <c r="B8" s="11">
        <f>COUNTIF(Tests!B:B,A8)</f>
        <v/>
      </c>
      <c r="C8" s="11">
        <f>COUNTIFS(Tests!B:B,A8,Tests!K:K,"OK")</f>
        <v/>
      </c>
      <c r="D8" s="11">
        <f>COUNTIFS(Tests!B:B,A8,Tests!K:K,"NOK")</f>
        <v/>
      </c>
      <c r="E8" s="11">
        <f>COUNTIFS(Tests!B:B,A8,Tests!K:K,"NA")</f>
        <v/>
      </c>
      <c r="F8" s="11">
        <f>COUNTIFS(Tests!B:B,A8,Tests!K:K,"À faire")</f>
        <v/>
      </c>
      <c r="G8" s="11">
        <f>IF(B8=0,"-",ROUND(C8/B8*100,1))</f>
        <v/>
      </c>
    </row>
    <row r="9">
      <c r="A9" s="11" t="inlineStr">
        <is>
          <t>Performance</t>
        </is>
      </c>
      <c r="B9" s="11">
        <f>COUNTIF(Tests!B:B,A9)</f>
        <v/>
      </c>
      <c r="C9" s="11">
        <f>COUNTIFS(Tests!B:B,A9,Tests!K:K,"OK")</f>
        <v/>
      </c>
      <c r="D9" s="11">
        <f>COUNTIFS(Tests!B:B,A9,Tests!K:K,"NOK")</f>
        <v/>
      </c>
      <c r="E9" s="11">
        <f>COUNTIFS(Tests!B:B,A9,Tests!K:K,"NA")</f>
        <v/>
      </c>
      <c r="F9" s="11">
        <f>COUNTIFS(Tests!B:B,A9,Tests!K:K,"À faire")</f>
        <v/>
      </c>
      <c r="G9" s="11">
        <f>IF(B9=0,"-",ROUND(C9/B9*100,1))</f>
        <v/>
      </c>
    </row>
    <row r="10">
      <c r="A10" s="11" t="inlineStr">
        <is>
          <t>Robustesse</t>
        </is>
      </c>
      <c r="B10" s="11">
        <f>COUNTIF(Tests!B:B,A10)</f>
        <v/>
      </c>
      <c r="C10" s="11">
        <f>COUNTIFS(Tests!B:B,A10,Tests!K:K,"OK")</f>
        <v/>
      </c>
      <c r="D10" s="11">
        <f>COUNTIFS(Tests!B:B,A10,Tests!K:K,"NOK")</f>
        <v/>
      </c>
      <c r="E10" s="11">
        <f>COUNTIFS(Tests!B:B,A10,Tests!K:K,"NA")</f>
        <v/>
      </c>
      <c r="F10" s="11">
        <f>COUNTIFS(Tests!B:B,A10,Tests!K:K,"À faire")</f>
        <v/>
      </c>
      <c r="G10" s="11">
        <f>IF(B10=0,"-",ROUND(C10/B10*100,1))</f>
        <v/>
      </c>
    </row>
    <row r="11">
      <c r="A11" s="11" t="inlineStr">
        <is>
          <t>Régression</t>
        </is>
      </c>
      <c r="B11" s="11">
        <f>COUNTIF(Tests!B:B,A11)</f>
        <v/>
      </c>
      <c r="C11" s="11">
        <f>COUNTIFS(Tests!B:B,A11,Tests!K:K,"OK")</f>
        <v/>
      </c>
      <c r="D11" s="11">
        <f>COUNTIFS(Tests!B:B,A11,Tests!K:K,"NOK")</f>
        <v/>
      </c>
      <c r="E11" s="11">
        <f>COUNTIFS(Tests!B:B,A11,Tests!K:K,"NA")</f>
        <v/>
      </c>
      <c r="F11" s="11">
        <f>COUNTIFS(Tests!B:B,A11,Tests!K:K,"À faire")</f>
        <v/>
      </c>
      <c r="G11" s="11">
        <f>IF(B11=0,"-",ROUND(C11/B11*100,1))</f>
        <v/>
      </c>
    </row>
    <row r="12">
      <c r="A12" s="12" t="inlineStr">
        <is>
          <t>TOTAL</t>
        </is>
      </c>
      <c r="B12" s="12">
        <f>SUM(B4:B11)</f>
        <v/>
      </c>
      <c r="C12" s="12">
        <f>SUM(C4:C11)</f>
        <v/>
      </c>
      <c r="D12" s="12">
        <f>SUM(D4:D11)</f>
        <v/>
      </c>
      <c r="E12" s="12">
        <f>SUM(E4:E11)</f>
        <v/>
      </c>
      <c r="F12" s="12">
        <f>SUM(F4:F11)</f>
        <v/>
      </c>
      <c r="G12" s="12">
        <f>IF(B12=0,"-",ROUND(C12/B12*100,1))</f>
        <v/>
      </c>
    </row>
    <row r="15">
      <c r="A15" s="1" t="inlineStr">
        <is>
          <t>Sévérité</t>
        </is>
      </c>
      <c r="B15" s="1" t="inlineStr">
        <is>
          <t>Total</t>
        </is>
      </c>
      <c r="C15" s="1" t="inlineStr">
        <is>
          <t>OK</t>
        </is>
      </c>
      <c r="D15" s="1" t="inlineStr">
        <is>
          <t>NOK</t>
        </is>
      </c>
    </row>
    <row r="16">
      <c r="A16" s="11" t="inlineStr">
        <is>
          <t>Bloquant</t>
        </is>
      </c>
      <c r="B16" s="11">
        <f>COUNTIF(Tests!L:L,A16)</f>
        <v/>
      </c>
      <c r="C16" s="11">
        <f>COUNTIFS(Tests!L:L,A16,Tests!K:K,"OK")</f>
        <v/>
      </c>
      <c r="D16" s="11">
        <f>COUNTIFS(Tests!L:L,A16,Tests!K:K,"NOK")</f>
        <v/>
      </c>
    </row>
    <row r="17">
      <c r="A17" s="11" t="inlineStr">
        <is>
          <t>Majeur</t>
        </is>
      </c>
      <c r="B17" s="11">
        <f>COUNTIF(Tests!L:L,A17)</f>
        <v/>
      </c>
      <c r="C17" s="11">
        <f>COUNTIFS(Tests!L:L,A17,Tests!K:K,"OK")</f>
        <v/>
      </c>
      <c r="D17" s="11">
        <f>COUNTIFS(Tests!L:L,A17,Tests!K:K,"NOK")</f>
        <v/>
      </c>
    </row>
    <row r="18">
      <c r="A18" s="11" t="inlineStr">
        <is>
          <t>Mineur</t>
        </is>
      </c>
      <c r="B18" s="11">
        <f>COUNTIF(Tests!L:L,A18)</f>
        <v/>
      </c>
      <c r="C18" s="11">
        <f>COUNTIFS(Tests!L:L,A18,Tests!K:K,"OK")</f>
        <v/>
      </c>
      <c r="D18" s="11">
        <f>COUNTIFS(Tests!L:L,A18,Tests!K:K,"NOK")</f>
        <v/>
      </c>
    </row>
    <row r="19">
      <c r="A19" s="11" t="inlineStr">
        <is>
          <t>Cosmétique</t>
        </is>
      </c>
      <c r="B19" s="11">
        <f>COUNTIF(Tests!L:L,A19)</f>
        <v/>
      </c>
      <c r="C19" s="11">
        <f>COUNTIFS(Tests!L:L,A19,Tests!K:K,"OK")</f>
        <v/>
      </c>
      <c r="D19" s="11">
        <f>COUNTIFS(Tests!L:L,A19,Tests!K:K,"NOK")</f>
        <v/>
      </c>
    </row>
    <row r="22">
      <c r="A22" s="1" t="inlineStr">
        <is>
          <t>Mode</t>
        </is>
      </c>
      <c r="B22" s="1" t="inlineStr">
        <is>
          <t>Total</t>
        </is>
      </c>
      <c r="C22" s="1" t="inlineStr">
        <is>
          <t>OK</t>
        </is>
      </c>
      <c r="D22" s="1" t="inlineStr">
        <is>
          <t>NOK</t>
        </is>
      </c>
      <c r="E22" s="1" t="inlineStr">
        <is>
          <t>À faire</t>
        </is>
      </c>
      <c r="F22" s="1" t="inlineStr">
        <is>
          <t>Taux OK (%)</t>
        </is>
      </c>
    </row>
    <row r="23">
      <c r="A23" s="11" t="inlineStr">
        <is>
          <t>Auto</t>
        </is>
      </c>
      <c r="B23" s="11">
        <f>COUNTIF(Tests!F:F,A23)</f>
        <v/>
      </c>
      <c r="C23" s="11">
        <f>COUNTIFS(Tests!F:F,A23,Tests!K:K,"OK")</f>
        <v/>
      </c>
      <c r="D23" s="11">
        <f>COUNTIFS(Tests!F:F,A23,Tests!K:K,"NOK")</f>
        <v/>
      </c>
      <c r="E23" s="11">
        <f>COUNTIFS(Tests!F:F,A23,Tests!K:K,"À faire")</f>
        <v/>
      </c>
      <c r="F23" s="11">
        <f>IF(B23=0,"-",ROUND(C23/B23*100,1))</f>
        <v/>
      </c>
    </row>
    <row r="24">
      <c r="A24" s="11" t="inlineStr">
        <is>
          <t>Manuel</t>
        </is>
      </c>
      <c r="B24" s="11">
        <f>COUNTIF(Tests!F:F,A24)</f>
        <v/>
      </c>
      <c r="C24" s="11">
        <f>COUNTIFS(Tests!F:F,A24,Tests!K:K,"OK")</f>
        <v/>
      </c>
      <c r="D24" s="11">
        <f>COUNTIFS(Tests!F:F,A24,Tests!K:K,"NOK")</f>
        <v/>
      </c>
      <c r="E24" s="11">
        <f>COUNTIFS(Tests!F:F,A24,Tests!K:K,"À faire")</f>
        <v/>
      </c>
      <c r="F24" s="11">
        <f>IF(B24=0,"-",ROUND(C24/B24*100,1))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0" customWidth="1" min="3" max="3"/>
  </cols>
  <sheetData>
    <row r="1">
      <c r="A1" s="10" t="inlineStr">
        <is>
          <t>Référentiel d'exigences fonctionnelles</t>
        </is>
      </c>
    </row>
    <row r="3">
      <c r="A3" s="1" t="inlineStr">
        <is>
          <t>ID Exigence</t>
        </is>
      </c>
      <c r="B3" s="1" t="inlineStr">
        <is>
          <t>Catégorie</t>
        </is>
      </c>
      <c r="C3" s="1" t="inlineStr">
        <is>
          <t>Tests couvrants</t>
        </is>
      </c>
    </row>
    <row r="4">
      <c r="A4" s="13" t="inlineStr">
        <is>
          <t>REQ-ENT-01</t>
        </is>
      </c>
      <c r="B4" s="13" t="inlineStr">
        <is>
          <t>Entrées</t>
        </is>
      </c>
      <c r="C4" s="13" t="inlineStr">
        <is>
          <t>T-051</t>
        </is>
      </c>
    </row>
    <row r="5">
      <c r="A5" s="13" t="inlineStr">
        <is>
          <t>REQ-ENT-02</t>
        </is>
      </c>
      <c r="B5" s="13" t="inlineStr">
        <is>
          <t>Entrées</t>
        </is>
      </c>
      <c r="C5" s="13" t="inlineStr">
        <is>
          <t>T-052</t>
        </is>
      </c>
    </row>
    <row r="6">
      <c r="A6" s="13" t="inlineStr">
        <is>
          <t>REQ-ENT-03</t>
        </is>
      </c>
      <c r="B6" s="13" t="inlineStr">
        <is>
          <t>Entrées</t>
        </is>
      </c>
      <c r="C6" s="13" t="inlineStr">
        <is>
          <t>T-053</t>
        </is>
      </c>
    </row>
    <row r="7">
      <c r="A7" s="13" t="inlineStr">
        <is>
          <t>REQ-ENT-04</t>
        </is>
      </c>
      <c r="B7" s="13" t="inlineStr">
        <is>
          <t>Entrées</t>
        </is>
      </c>
      <c r="C7" s="13" t="inlineStr">
        <is>
          <t>T-054</t>
        </is>
      </c>
    </row>
    <row r="8">
      <c r="A8" s="13" t="inlineStr">
        <is>
          <t>REQ-ENT-05</t>
        </is>
      </c>
      <c r="B8" s="13" t="inlineStr">
        <is>
          <t>Entrées</t>
        </is>
      </c>
      <c r="C8" s="13" t="inlineStr">
        <is>
          <t>T-055</t>
        </is>
      </c>
    </row>
    <row r="9">
      <c r="A9" s="13" t="inlineStr">
        <is>
          <t>REQ-ENT-06</t>
        </is>
      </c>
      <c r="B9" s="13" t="inlineStr">
        <is>
          <t>Entrées</t>
        </is>
      </c>
      <c r="C9" s="13" t="inlineStr">
        <is>
          <t>T-056</t>
        </is>
      </c>
    </row>
    <row r="10">
      <c r="A10" s="13" t="inlineStr">
        <is>
          <t>REQ-ENT-07</t>
        </is>
      </c>
      <c r="B10" s="13" t="inlineStr">
        <is>
          <t>Entrées</t>
        </is>
      </c>
      <c r="C10" s="13" t="inlineStr">
        <is>
          <t>T-057</t>
        </is>
      </c>
    </row>
    <row r="11">
      <c r="A11" s="13" t="inlineStr">
        <is>
          <t>REQ-ENT-08</t>
        </is>
      </c>
      <c r="B11" s="13" t="inlineStr">
        <is>
          <t>Entrées</t>
        </is>
      </c>
      <c r="C11" s="13" t="inlineStr">
        <is>
          <t>T-058</t>
        </is>
      </c>
    </row>
    <row r="12">
      <c r="A12" s="13" t="inlineStr">
        <is>
          <t>REQ-ENT-09</t>
        </is>
      </c>
      <c r="B12" s="13" t="inlineStr">
        <is>
          <t>Entrées</t>
        </is>
      </c>
      <c r="C12" s="13" t="inlineStr">
        <is>
          <t>T-059</t>
        </is>
      </c>
    </row>
    <row r="13">
      <c r="A13" s="13" t="inlineStr">
        <is>
          <t>REQ-ENT-10</t>
        </is>
      </c>
      <c r="B13" s="13" t="inlineStr">
        <is>
          <t>Entrées</t>
        </is>
      </c>
      <c r="C13" s="13" t="inlineStr">
        <is>
          <t>T-060</t>
        </is>
      </c>
    </row>
    <row r="14">
      <c r="A14" s="13" t="inlineStr">
        <is>
          <t>REQ-ENT-11</t>
        </is>
      </c>
      <c r="B14" s="13" t="inlineStr">
        <is>
          <t>Entrées</t>
        </is>
      </c>
      <c r="C14" s="13" t="inlineStr">
        <is>
          <t>T-061</t>
        </is>
      </c>
    </row>
    <row r="15">
      <c r="A15" s="13" t="inlineStr">
        <is>
          <t>REQ-ENT-12</t>
        </is>
      </c>
      <c r="B15" s="13" t="inlineStr">
        <is>
          <t>Entrées</t>
        </is>
      </c>
      <c r="C15" s="13" t="inlineStr">
        <is>
          <t>T-062</t>
        </is>
      </c>
    </row>
    <row r="16">
      <c r="A16" s="13" t="inlineStr">
        <is>
          <t>REQ-ENT-13</t>
        </is>
      </c>
      <c r="B16" s="13" t="inlineStr">
        <is>
          <t>Entrées</t>
        </is>
      </c>
      <c r="C16" s="13" t="inlineStr">
        <is>
          <t>T-063</t>
        </is>
      </c>
    </row>
    <row r="17">
      <c r="A17" s="13" t="inlineStr">
        <is>
          <t>REQ-ENT-14</t>
        </is>
      </c>
      <c r="B17" s="13" t="inlineStr">
        <is>
          <t>Entrées</t>
        </is>
      </c>
      <c r="C17" s="13" t="inlineStr">
        <is>
          <t>T-064</t>
        </is>
      </c>
    </row>
    <row r="18">
      <c r="A18" s="13" t="inlineStr">
        <is>
          <t>REQ-ENT-15</t>
        </is>
      </c>
      <c r="B18" s="13" t="inlineStr">
        <is>
          <t>Entrées</t>
        </is>
      </c>
      <c r="C18" s="13" t="inlineStr">
        <is>
          <t>T-065</t>
        </is>
      </c>
    </row>
    <row r="19">
      <c r="A19" s="13" t="inlineStr">
        <is>
          <t>REQ-IHM-01</t>
        </is>
      </c>
      <c r="B19" s="13" t="inlineStr">
        <is>
          <t>IHM</t>
        </is>
      </c>
      <c r="C19" s="13" t="inlineStr">
        <is>
          <t>T-001</t>
        </is>
      </c>
    </row>
    <row r="20">
      <c r="A20" s="13" t="inlineStr">
        <is>
          <t>REQ-IHM-02</t>
        </is>
      </c>
      <c r="B20" s="13" t="inlineStr">
        <is>
          <t>IHM</t>
        </is>
      </c>
      <c r="C20" s="13" t="inlineStr">
        <is>
          <t>T-002</t>
        </is>
      </c>
    </row>
    <row r="21">
      <c r="A21" s="13" t="inlineStr">
        <is>
          <t>REQ-IHM-03</t>
        </is>
      </c>
      <c r="B21" s="13" t="inlineStr">
        <is>
          <t>IHM</t>
        </is>
      </c>
      <c r="C21" s="13" t="inlineStr">
        <is>
          <t>T-003</t>
        </is>
      </c>
    </row>
    <row r="22">
      <c r="A22" s="13" t="inlineStr">
        <is>
          <t>REQ-IHM-04</t>
        </is>
      </c>
      <c r="B22" s="13" t="inlineStr">
        <is>
          <t>IHM</t>
        </is>
      </c>
      <c r="C22" s="13" t="inlineStr">
        <is>
          <t>T-004</t>
        </is>
      </c>
    </row>
    <row r="23">
      <c r="A23" s="13" t="inlineStr">
        <is>
          <t>REQ-IHM-05</t>
        </is>
      </c>
      <c r="B23" s="13" t="inlineStr">
        <is>
          <t>IHM</t>
        </is>
      </c>
      <c r="C23" s="13" t="inlineStr">
        <is>
          <t>T-005</t>
        </is>
      </c>
    </row>
    <row r="24">
      <c r="A24" s="13" t="inlineStr">
        <is>
          <t>REQ-IHM-06</t>
        </is>
      </c>
      <c r="B24" s="13" t="inlineStr">
        <is>
          <t>IHM</t>
        </is>
      </c>
      <c r="C24" s="13" t="inlineStr">
        <is>
          <t>T-006</t>
        </is>
      </c>
    </row>
    <row r="25">
      <c r="A25" s="13" t="inlineStr">
        <is>
          <t>REQ-IHM-07</t>
        </is>
      </c>
      <c r="B25" s="13" t="inlineStr">
        <is>
          <t>IHM</t>
        </is>
      </c>
      <c r="C25" s="13" t="inlineStr">
        <is>
          <t>T-007</t>
        </is>
      </c>
    </row>
    <row r="26">
      <c r="A26" s="13" t="inlineStr">
        <is>
          <t>REQ-IHM-08</t>
        </is>
      </c>
      <c r="B26" s="13" t="inlineStr">
        <is>
          <t>IHM</t>
        </is>
      </c>
      <c r="C26" s="13" t="inlineStr">
        <is>
          <t>T-008</t>
        </is>
      </c>
    </row>
    <row r="27">
      <c r="A27" s="13" t="inlineStr">
        <is>
          <t>REQ-IHM-09</t>
        </is>
      </c>
      <c r="B27" s="13" t="inlineStr">
        <is>
          <t>IHM</t>
        </is>
      </c>
      <c r="C27" s="13" t="inlineStr">
        <is>
          <t>T-009</t>
        </is>
      </c>
    </row>
    <row r="28">
      <c r="A28" s="13" t="inlineStr">
        <is>
          <t>REQ-IHM-10</t>
        </is>
      </c>
      <c r="B28" s="13" t="inlineStr">
        <is>
          <t>IHM</t>
        </is>
      </c>
      <c r="C28" s="13" t="inlineStr">
        <is>
          <t>T-010</t>
        </is>
      </c>
    </row>
    <row r="29">
      <c r="A29" s="13" t="inlineStr">
        <is>
          <t>REQ-IHM-11</t>
        </is>
      </c>
      <c r="B29" s="13" t="inlineStr">
        <is>
          <t>IHM</t>
        </is>
      </c>
      <c r="C29" s="13" t="inlineStr">
        <is>
          <t>T-011</t>
        </is>
      </c>
    </row>
    <row r="30">
      <c r="A30" s="13" t="inlineStr">
        <is>
          <t>REQ-IHM-12</t>
        </is>
      </c>
      <c r="B30" s="13" t="inlineStr">
        <is>
          <t>IHM</t>
        </is>
      </c>
      <c r="C30" s="13" t="inlineStr">
        <is>
          <t>T-012</t>
        </is>
      </c>
    </row>
    <row r="31">
      <c r="A31" s="13" t="inlineStr">
        <is>
          <t>REQ-IHM-13</t>
        </is>
      </c>
      <c r="B31" s="13" t="inlineStr">
        <is>
          <t>IHM</t>
        </is>
      </c>
      <c r="C31" s="13" t="inlineStr">
        <is>
          <t>T-013</t>
        </is>
      </c>
    </row>
    <row r="32">
      <c r="A32" s="13" t="inlineStr">
        <is>
          <t>REQ-IHM-14</t>
        </is>
      </c>
      <c r="B32" s="13" t="inlineStr">
        <is>
          <t>IHM</t>
        </is>
      </c>
      <c r="C32" s="13" t="inlineStr">
        <is>
          <t>T-014</t>
        </is>
      </c>
    </row>
    <row r="33">
      <c r="A33" s="13" t="inlineStr">
        <is>
          <t>REQ-IHM-15</t>
        </is>
      </c>
      <c r="B33" s="13" t="inlineStr">
        <is>
          <t>IHM</t>
        </is>
      </c>
      <c r="C33" s="13" t="inlineStr">
        <is>
          <t>T-015</t>
        </is>
      </c>
    </row>
    <row r="34">
      <c r="A34" s="13" t="inlineStr">
        <is>
          <t>REQ-IHM-16</t>
        </is>
      </c>
      <c r="B34" s="13" t="inlineStr">
        <is>
          <t>IHM</t>
        </is>
      </c>
      <c r="C34" s="13" t="inlineStr">
        <is>
          <t>T-016</t>
        </is>
      </c>
    </row>
    <row r="35">
      <c r="A35" s="13" t="inlineStr">
        <is>
          <t>REQ-IHM-17</t>
        </is>
      </c>
      <c r="B35" s="13" t="inlineStr">
        <is>
          <t>IHM</t>
        </is>
      </c>
      <c r="C35" s="13" t="inlineStr">
        <is>
          <t>T-017</t>
        </is>
      </c>
    </row>
    <row r="36">
      <c r="A36" s="13" t="inlineStr">
        <is>
          <t>REQ-IHM-18</t>
        </is>
      </c>
      <c r="B36" s="13" t="inlineStr">
        <is>
          <t>IHM</t>
        </is>
      </c>
      <c r="C36" s="13" t="inlineStr">
        <is>
          <t>T-018</t>
        </is>
      </c>
    </row>
    <row r="37">
      <c r="A37" s="13" t="inlineStr">
        <is>
          <t>REQ-IHM-19</t>
        </is>
      </c>
      <c r="B37" s="13" t="inlineStr">
        <is>
          <t>IHM</t>
        </is>
      </c>
      <c r="C37" s="13" t="inlineStr">
        <is>
          <t>T-019</t>
        </is>
      </c>
    </row>
    <row r="38">
      <c r="A38" s="13" t="inlineStr">
        <is>
          <t>REQ-IHM-20</t>
        </is>
      </c>
      <c r="B38" s="13" t="inlineStr">
        <is>
          <t>IHM</t>
        </is>
      </c>
      <c r="C38" s="13" t="inlineStr">
        <is>
          <t>T-020</t>
        </is>
      </c>
    </row>
    <row r="39">
      <c r="A39" s="13" t="inlineStr">
        <is>
          <t>REQ-IHM-21</t>
        </is>
      </c>
      <c r="B39" s="13" t="inlineStr">
        <is>
          <t>IHM</t>
        </is>
      </c>
      <c r="C39" s="13" t="inlineStr">
        <is>
          <t>T-021</t>
        </is>
      </c>
    </row>
    <row r="40">
      <c r="A40" s="13" t="inlineStr">
        <is>
          <t>REQ-IHM-22</t>
        </is>
      </c>
      <c r="B40" s="13" t="inlineStr">
        <is>
          <t>IHM</t>
        </is>
      </c>
      <c r="C40" s="13" t="inlineStr">
        <is>
          <t>T-022</t>
        </is>
      </c>
    </row>
    <row r="41">
      <c r="A41" s="13" t="inlineStr">
        <is>
          <t>REQ-IHM-23</t>
        </is>
      </c>
      <c r="B41" s="13" t="inlineStr">
        <is>
          <t>IHM</t>
        </is>
      </c>
      <c r="C41" s="13" t="inlineStr">
        <is>
          <t>T-023</t>
        </is>
      </c>
    </row>
    <row r="42">
      <c r="A42" s="13" t="inlineStr">
        <is>
          <t>REQ-IHM-24</t>
        </is>
      </c>
      <c r="B42" s="13" t="inlineStr">
        <is>
          <t>IHM</t>
        </is>
      </c>
      <c r="C42" s="13" t="inlineStr">
        <is>
          <t>T-024</t>
        </is>
      </c>
    </row>
    <row r="43">
      <c r="A43" s="13" t="inlineStr">
        <is>
          <t>REQ-IHM-25</t>
        </is>
      </c>
      <c r="B43" s="13" t="inlineStr">
        <is>
          <t>IHM</t>
        </is>
      </c>
      <c r="C43" s="13" t="inlineStr">
        <is>
          <t>T-025</t>
        </is>
      </c>
    </row>
    <row r="44">
      <c r="A44" s="13" t="inlineStr">
        <is>
          <t>REQ-IHM-26</t>
        </is>
      </c>
      <c r="B44" s="13" t="inlineStr">
        <is>
          <t>IHM</t>
        </is>
      </c>
      <c r="C44" s="13" t="inlineStr">
        <is>
          <t>T-026</t>
        </is>
      </c>
    </row>
    <row r="45">
      <c r="A45" s="13" t="inlineStr">
        <is>
          <t>REQ-IHM-27</t>
        </is>
      </c>
      <c r="B45" s="13" t="inlineStr">
        <is>
          <t>IHM</t>
        </is>
      </c>
      <c r="C45" s="13" t="inlineStr">
        <is>
          <t>T-027</t>
        </is>
      </c>
    </row>
    <row r="46">
      <c r="A46" s="13" t="inlineStr">
        <is>
          <t>REQ-IHM-28</t>
        </is>
      </c>
      <c r="B46" s="13" t="inlineStr">
        <is>
          <t>IHM</t>
        </is>
      </c>
      <c r="C46" s="13" t="inlineStr">
        <is>
          <t>T-028</t>
        </is>
      </c>
    </row>
    <row r="47">
      <c r="A47" s="13" t="inlineStr">
        <is>
          <t>REQ-IHM-29</t>
        </is>
      </c>
      <c r="B47" s="13" t="inlineStr">
        <is>
          <t>IHM</t>
        </is>
      </c>
      <c r="C47" s="13" t="inlineStr">
        <is>
          <t>T-029</t>
        </is>
      </c>
    </row>
    <row r="48">
      <c r="A48" s="13" t="inlineStr">
        <is>
          <t>REQ-IHM-30</t>
        </is>
      </c>
      <c r="B48" s="13" t="inlineStr">
        <is>
          <t>IHM</t>
        </is>
      </c>
      <c r="C48" s="13" t="inlineStr">
        <is>
          <t>T-030</t>
        </is>
      </c>
    </row>
    <row r="49">
      <c r="A49" s="13" t="inlineStr">
        <is>
          <t>REQ-IHM-31</t>
        </is>
      </c>
      <c r="B49" s="13" t="inlineStr">
        <is>
          <t>IHM</t>
        </is>
      </c>
      <c r="C49" s="13" t="inlineStr">
        <is>
          <t>T-151</t>
        </is>
      </c>
    </row>
    <row r="50">
      <c r="A50" s="13" t="inlineStr">
        <is>
          <t>REQ-IHM-32</t>
        </is>
      </c>
      <c r="B50" s="13" t="inlineStr">
        <is>
          <t>IHM</t>
        </is>
      </c>
      <c r="C50" s="13" t="inlineStr">
        <is>
          <t>T-152</t>
        </is>
      </c>
    </row>
    <row r="51">
      <c r="A51" s="13" t="inlineStr">
        <is>
          <t>REQ-IHM-33</t>
        </is>
      </c>
      <c r="B51" s="13" t="inlineStr">
        <is>
          <t>IHM</t>
        </is>
      </c>
      <c r="C51" s="13" t="inlineStr">
        <is>
          <t>T-153</t>
        </is>
      </c>
    </row>
    <row r="52">
      <c r="A52" s="13" t="inlineStr">
        <is>
          <t>REQ-IHM-34</t>
        </is>
      </c>
      <c r="B52" s="13" t="inlineStr">
        <is>
          <t>IHM</t>
        </is>
      </c>
      <c r="C52" s="13" t="inlineStr">
        <is>
          <t>T-154</t>
        </is>
      </c>
    </row>
    <row r="53">
      <c r="A53" s="13" t="inlineStr">
        <is>
          <t>REQ-IHM-35</t>
        </is>
      </c>
      <c r="B53" s="13" t="inlineStr">
        <is>
          <t>IHM</t>
        </is>
      </c>
      <c r="C53" s="13" t="inlineStr">
        <is>
          <t>T-155</t>
        </is>
      </c>
    </row>
    <row r="54">
      <c r="A54" s="13" t="inlineStr">
        <is>
          <t>REQ-IHM-36</t>
        </is>
      </c>
      <c r="B54" s="13" t="inlineStr">
        <is>
          <t>IHM</t>
        </is>
      </c>
      <c r="C54" s="13" t="inlineStr">
        <is>
          <t>T-156</t>
        </is>
      </c>
    </row>
    <row r="55">
      <c r="A55" s="13" t="inlineStr">
        <is>
          <t>REQ-IHM-37</t>
        </is>
      </c>
      <c r="B55" s="13" t="inlineStr">
        <is>
          <t>IHM</t>
        </is>
      </c>
      <c r="C55" s="13" t="inlineStr">
        <is>
          <t>T-157</t>
        </is>
      </c>
    </row>
    <row r="56">
      <c r="A56" s="13" t="inlineStr">
        <is>
          <t>REQ-IHM-38</t>
        </is>
      </c>
      <c r="B56" s="13" t="inlineStr">
        <is>
          <t>IHM</t>
        </is>
      </c>
      <c r="C56" s="13" t="inlineStr">
        <is>
          <t>T-158</t>
        </is>
      </c>
    </row>
    <row r="57">
      <c r="A57" s="13" t="inlineStr">
        <is>
          <t>REQ-IHM-39</t>
        </is>
      </c>
      <c r="B57" s="13" t="inlineStr">
        <is>
          <t>IHM</t>
        </is>
      </c>
      <c r="C57" s="13" t="inlineStr">
        <is>
          <t>T-159</t>
        </is>
      </c>
    </row>
    <row r="58">
      <c r="A58" s="13" t="inlineStr">
        <is>
          <t>REQ-IHM-40</t>
        </is>
      </c>
      <c r="B58" s="13" t="inlineStr">
        <is>
          <t>IHM</t>
        </is>
      </c>
      <c r="C58" s="13" t="inlineStr">
        <is>
          <t>T-166</t>
        </is>
      </c>
    </row>
    <row r="59">
      <c r="A59" s="13" t="inlineStr">
        <is>
          <t>REQ-IHM-41</t>
        </is>
      </c>
      <c r="B59" s="13" t="inlineStr">
        <is>
          <t>IHM</t>
        </is>
      </c>
      <c r="C59" s="13" t="inlineStr">
        <is>
          <t>T-167</t>
        </is>
      </c>
    </row>
    <row r="60">
      <c r="A60" s="13" t="inlineStr">
        <is>
          <t>REQ-IHM-42</t>
        </is>
      </c>
      <c r="B60" s="13" t="inlineStr">
        <is>
          <t>IHM</t>
        </is>
      </c>
      <c r="C60" s="13" t="inlineStr">
        <is>
          <t>T-168</t>
        </is>
      </c>
    </row>
    <row r="61">
      <c r="A61" s="13" t="inlineStr">
        <is>
          <t>REQ-IHM-43</t>
        </is>
      </c>
      <c r="B61" s="13" t="inlineStr">
        <is>
          <t>IHM</t>
        </is>
      </c>
      <c r="C61" s="13" t="inlineStr">
        <is>
          <t>T-188</t>
        </is>
      </c>
    </row>
    <row r="62">
      <c r="A62" s="13" t="inlineStr">
        <is>
          <t>REQ-IHM-44</t>
        </is>
      </c>
      <c r="B62" s="13" t="inlineStr">
        <is>
          <t>IHM</t>
        </is>
      </c>
      <c r="C62" s="13" t="inlineStr">
        <is>
          <t>T-189</t>
        </is>
      </c>
    </row>
    <row r="63">
      <c r="A63" s="13" t="inlineStr">
        <is>
          <t>REQ-IHM-45</t>
        </is>
      </c>
      <c r="B63" s="13" t="inlineStr">
        <is>
          <t>IHM</t>
        </is>
      </c>
      <c r="C63" s="13" t="inlineStr">
        <is>
          <t>T-200</t>
        </is>
      </c>
    </row>
    <row r="64">
      <c r="A64" s="13" t="inlineStr">
        <is>
          <t>REQ-IHM-46</t>
        </is>
      </c>
      <c r="B64" s="13" t="inlineStr">
        <is>
          <t>IHM</t>
        </is>
      </c>
      <c r="C64" s="13" t="inlineStr">
        <is>
          <t>T-201</t>
        </is>
      </c>
    </row>
    <row r="65">
      <c r="A65" s="13" t="inlineStr">
        <is>
          <t>REQ-IHM-47</t>
        </is>
      </c>
      <c r="B65" s="13" t="inlineStr">
        <is>
          <t>IHM</t>
        </is>
      </c>
      <c r="C65" s="13" t="inlineStr">
        <is>
          <t>T-202</t>
        </is>
      </c>
    </row>
    <row r="66">
      <c r="A66" s="13" t="inlineStr">
        <is>
          <t>REQ-IHM-48</t>
        </is>
      </c>
      <c r="B66" s="13" t="inlineStr">
        <is>
          <t>IHM</t>
        </is>
      </c>
      <c r="C66" s="13" t="inlineStr">
        <is>
          <t>T-208</t>
        </is>
      </c>
    </row>
    <row r="67">
      <c r="A67" s="13" t="inlineStr">
        <is>
          <t>REQ-IHM-49</t>
        </is>
      </c>
      <c r="B67" s="13" t="inlineStr">
        <is>
          <t>IHM</t>
        </is>
      </c>
      <c r="C67" s="13" t="inlineStr">
        <is>
          <t>T-209</t>
        </is>
      </c>
    </row>
    <row r="68">
      <c r="A68" s="13" t="inlineStr">
        <is>
          <t>REQ-LIM-01</t>
        </is>
      </c>
      <c r="B68" s="13" t="inlineStr">
        <is>
          <t>Cas limites</t>
        </is>
      </c>
      <c r="C68" s="13" t="inlineStr">
        <is>
          <t>T-081</t>
        </is>
      </c>
    </row>
    <row r="69">
      <c r="A69" s="13" t="inlineStr">
        <is>
          <t>REQ-LIM-02</t>
        </is>
      </c>
      <c r="B69" s="13" t="inlineStr">
        <is>
          <t>Cas limites</t>
        </is>
      </c>
      <c r="C69" s="13" t="inlineStr">
        <is>
          <t>T-082</t>
        </is>
      </c>
    </row>
    <row r="70">
      <c r="A70" s="13" t="inlineStr">
        <is>
          <t>REQ-LIM-03</t>
        </is>
      </c>
      <c r="B70" s="13" t="inlineStr">
        <is>
          <t>Cas limites</t>
        </is>
      </c>
      <c r="C70" s="13" t="inlineStr">
        <is>
          <t>T-083</t>
        </is>
      </c>
    </row>
    <row r="71">
      <c r="A71" s="13" t="inlineStr">
        <is>
          <t>REQ-LIM-04</t>
        </is>
      </c>
      <c r="B71" s="13" t="inlineStr">
        <is>
          <t>Cas limites</t>
        </is>
      </c>
      <c r="C71" s="13" t="inlineStr">
        <is>
          <t>T-084</t>
        </is>
      </c>
    </row>
    <row r="72">
      <c r="A72" s="13" t="inlineStr">
        <is>
          <t>REQ-LIM-05</t>
        </is>
      </c>
      <c r="B72" s="13" t="inlineStr">
        <is>
          <t>Cas limites</t>
        </is>
      </c>
      <c r="C72" s="13" t="inlineStr">
        <is>
          <t>T-085</t>
        </is>
      </c>
    </row>
    <row r="73">
      <c r="A73" s="13" t="inlineStr">
        <is>
          <t>REQ-LIM-06</t>
        </is>
      </c>
      <c r="B73" s="13" t="inlineStr">
        <is>
          <t>Cas limites</t>
        </is>
      </c>
      <c r="C73" s="13" t="inlineStr">
        <is>
          <t>T-086</t>
        </is>
      </c>
    </row>
    <row r="74">
      <c r="A74" s="13" t="inlineStr">
        <is>
          <t>REQ-LIM-07</t>
        </is>
      </c>
      <c r="B74" s="13" t="inlineStr">
        <is>
          <t>Cas limites</t>
        </is>
      </c>
      <c r="C74" s="13" t="inlineStr">
        <is>
          <t>T-087</t>
        </is>
      </c>
    </row>
    <row r="75">
      <c r="A75" s="13" t="inlineStr">
        <is>
          <t>REQ-LIM-08</t>
        </is>
      </c>
      <c r="B75" s="13" t="inlineStr">
        <is>
          <t>Cas limites</t>
        </is>
      </c>
      <c r="C75" s="13" t="inlineStr">
        <is>
          <t>T-088</t>
        </is>
      </c>
    </row>
    <row r="76">
      <c r="A76" s="13" t="inlineStr">
        <is>
          <t>REQ-LIM-09</t>
        </is>
      </c>
      <c r="B76" s="13" t="inlineStr">
        <is>
          <t>Cas limites</t>
        </is>
      </c>
      <c r="C76" s="13" t="inlineStr">
        <is>
          <t>T-089</t>
        </is>
      </c>
    </row>
    <row r="77">
      <c r="A77" s="13" t="inlineStr">
        <is>
          <t>REQ-LIM-10</t>
        </is>
      </c>
      <c r="B77" s="13" t="inlineStr">
        <is>
          <t>Cas limites</t>
        </is>
      </c>
      <c r="C77" s="13" t="inlineStr">
        <is>
          <t>T-090</t>
        </is>
      </c>
    </row>
    <row r="78">
      <c r="A78" s="13" t="inlineStr">
        <is>
          <t>REQ-LIM-11</t>
        </is>
      </c>
      <c r="B78" s="13" t="inlineStr">
        <is>
          <t>Cas limites</t>
        </is>
      </c>
      <c r="C78" s="13" t="inlineStr">
        <is>
          <t>T-091</t>
        </is>
      </c>
    </row>
    <row r="79">
      <c r="A79" s="13" t="inlineStr">
        <is>
          <t>REQ-LIM-12</t>
        </is>
      </c>
      <c r="B79" s="13" t="inlineStr">
        <is>
          <t>Cas limites</t>
        </is>
      </c>
      <c r="C79" s="13" t="inlineStr">
        <is>
          <t>T-092</t>
        </is>
      </c>
    </row>
    <row r="80">
      <c r="A80" s="13" t="inlineStr">
        <is>
          <t>REQ-LIM-13</t>
        </is>
      </c>
      <c r="B80" s="13" t="inlineStr">
        <is>
          <t>Cas limites</t>
        </is>
      </c>
      <c r="C80" s="13" t="inlineStr">
        <is>
          <t>T-093</t>
        </is>
      </c>
    </row>
    <row r="81">
      <c r="A81" s="13" t="inlineStr">
        <is>
          <t>REQ-LIM-14</t>
        </is>
      </c>
      <c r="B81" s="13" t="inlineStr">
        <is>
          <t>Cas limites</t>
        </is>
      </c>
      <c r="C81" s="13" t="inlineStr">
        <is>
          <t>T-094</t>
        </is>
      </c>
    </row>
    <row r="82">
      <c r="A82" s="13" t="inlineStr">
        <is>
          <t>REQ-LIM-15</t>
        </is>
      </c>
      <c r="B82" s="13" t="inlineStr">
        <is>
          <t>Cas limites</t>
        </is>
      </c>
      <c r="C82" s="13" t="inlineStr">
        <is>
          <t>T-095</t>
        </is>
      </c>
    </row>
    <row r="83">
      <c r="A83" s="13" t="inlineStr">
        <is>
          <t>REQ-LIM-16</t>
        </is>
      </c>
      <c r="B83" s="13" t="inlineStr">
        <is>
          <t>Cas limites</t>
        </is>
      </c>
      <c r="C83" s="13" t="inlineStr">
        <is>
          <t>T-096</t>
        </is>
      </c>
    </row>
    <row r="84">
      <c r="A84" s="13" t="inlineStr">
        <is>
          <t>REQ-LIM-17</t>
        </is>
      </c>
      <c r="B84" s="13" t="inlineStr">
        <is>
          <t>Cas limites</t>
        </is>
      </c>
      <c r="C84" s="13" t="inlineStr">
        <is>
          <t>T-097</t>
        </is>
      </c>
    </row>
    <row r="85">
      <c r="A85" s="13" t="inlineStr">
        <is>
          <t>REQ-LIM-18</t>
        </is>
      </c>
      <c r="B85" s="13" t="inlineStr">
        <is>
          <t>Cas limites</t>
        </is>
      </c>
      <c r="C85" s="13" t="inlineStr">
        <is>
          <t>T-098</t>
        </is>
      </c>
    </row>
    <row r="86">
      <c r="A86" s="13" t="inlineStr">
        <is>
          <t>REQ-LIM-19</t>
        </is>
      </c>
      <c r="B86" s="13" t="inlineStr">
        <is>
          <t>Cas limites</t>
        </is>
      </c>
      <c r="C86" s="13" t="inlineStr">
        <is>
          <t>T-099</t>
        </is>
      </c>
    </row>
    <row r="87">
      <c r="A87" s="13" t="inlineStr">
        <is>
          <t>REQ-LIM-20</t>
        </is>
      </c>
      <c r="B87" s="13" t="inlineStr">
        <is>
          <t>Cas limites</t>
        </is>
      </c>
      <c r="C87" s="13" t="inlineStr">
        <is>
          <t>T-100</t>
        </is>
      </c>
    </row>
    <row r="88">
      <c r="A88" s="13" t="inlineStr">
        <is>
          <t>REQ-LIM-21</t>
        </is>
      </c>
      <c r="B88" s="13" t="inlineStr">
        <is>
          <t>Cas limites</t>
        </is>
      </c>
      <c r="C88" s="13" t="inlineStr">
        <is>
          <t>T-101</t>
        </is>
      </c>
    </row>
    <row r="89">
      <c r="A89" s="13" t="inlineStr">
        <is>
          <t>REQ-LIM-22</t>
        </is>
      </c>
      <c r="B89" s="13" t="inlineStr">
        <is>
          <t>Cas limites</t>
        </is>
      </c>
      <c r="C89" s="13" t="inlineStr">
        <is>
          <t>T-102</t>
        </is>
      </c>
    </row>
    <row r="90">
      <c r="A90" s="13" t="inlineStr">
        <is>
          <t>REQ-LIM-23</t>
        </is>
      </c>
      <c r="B90" s="13" t="inlineStr">
        <is>
          <t>Cas limites</t>
        </is>
      </c>
      <c r="C90" s="13" t="inlineStr">
        <is>
          <t>T-103</t>
        </is>
      </c>
    </row>
    <row r="91">
      <c r="A91" s="13" t="inlineStr">
        <is>
          <t>REQ-LIM-24</t>
        </is>
      </c>
      <c r="B91" s="13" t="inlineStr">
        <is>
          <t>Cas limites</t>
        </is>
      </c>
      <c r="C91" s="13" t="inlineStr">
        <is>
          <t>T-104</t>
        </is>
      </c>
    </row>
    <row r="92">
      <c r="A92" s="13" t="inlineStr">
        <is>
          <t>REQ-LIM-25</t>
        </is>
      </c>
      <c r="B92" s="13" t="inlineStr">
        <is>
          <t>Cas limites</t>
        </is>
      </c>
      <c r="C92" s="13" t="inlineStr">
        <is>
          <t>T-105</t>
        </is>
      </c>
    </row>
    <row r="93">
      <c r="A93" s="13" t="inlineStr">
        <is>
          <t>REQ-LIM-26</t>
        </is>
      </c>
      <c r="B93" s="13" t="inlineStr">
        <is>
          <t>Cas limites</t>
        </is>
      </c>
      <c r="C93" s="13" t="inlineStr">
        <is>
          <t>T-179</t>
        </is>
      </c>
    </row>
    <row r="94">
      <c r="A94" s="13" t="inlineStr">
        <is>
          <t>REQ-LIM-27</t>
        </is>
      </c>
      <c r="B94" s="13" t="inlineStr">
        <is>
          <t>Cas limites</t>
        </is>
      </c>
      <c r="C94" s="13" t="inlineStr">
        <is>
          <t>T-181</t>
        </is>
      </c>
    </row>
    <row r="95">
      <c r="A95" s="13" t="inlineStr">
        <is>
          <t>REQ-LIM-28</t>
        </is>
      </c>
      <c r="B95" s="13" t="inlineStr">
        <is>
          <t>Cas limites</t>
        </is>
      </c>
      <c r="C95" s="13" t="inlineStr">
        <is>
          <t>T-182</t>
        </is>
      </c>
    </row>
    <row r="96">
      <c r="A96" s="13" t="inlineStr">
        <is>
          <t>REQ-LIM-29</t>
        </is>
      </c>
      <c r="B96" s="13" t="inlineStr">
        <is>
          <t>Cas limites</t>
        </is>
      </c>
      <c r="C96" s="13" t="inlineStr">
        <is>
          <t>T-192</t>
        </is>
      </c>
    </row>
    <row r="97">
      <c r="A97" s="13" t="inlineStr">
        <is>
          <t>REQ-PRF-01</t>
        </is>
      </c>
      <c r="B97" s="13" t="inlineStr">
        <is>
          <t>Performance</t>
        </is>
      </c>
      <c r="C97" s="13" t="inlineStr">
        <is>
          <t>T-106</t>
        </is>
      </c>
    </row>
    <row r="98">
      <c r="A98" s="13" t="inlineStr">
        <is>
          <t>REQ-PRF-02</t>
        </is>
      </c>
      <c r="B98" s="13" t="inlineStr">
        <is>
          <t>Performance</t>
        </is>
      </c>
      <c r="C98" s="13" t="inlineStr">
        <is>
          <t>T-107</t>
        </is>
      </c>
    </row>
    <row r="99">
      <c r="A99" s="13" t="inlineStr">
        <is>
          <t>REQ-PRF-03</t>
        </is>
      </c>
      <c r="B99" s="13" t="inlineStr">
        <is>
          <t>Performance</t>
        </is>
      </c>
      <c r="C99" s="13" t="inlineStr">
        <is>
          <t>T-108</t>
        </is>
      </c>
    </row>
    <row r="100">
      <c r="A100" s="13" t="inlineStr">
        <is>
          <t>REQ-PRF-04</t>
        </is>
      </c>
      <c r="B100" s="13" t="inlineStr">
        <is>
          <t>Performance</t>
        </is>
      </c>
      <c r="C100" s="13" t="inlineStr">
        <is>
          <t>T-109</t>
        </is>
      </c>
    </row>
    <row r="101">
      <c r="A101" s="13" t="inlineStr">
        <is>
          <t>REQ-PRF-05</t>
        </is>
      </c>
      <c r="B101" s="13" t="inlineStr">
        <is>
          <t>Performance</t>
        </is>
      </c>
      <c r="C101" s="13" t="inlineStr">
        <is>
          <t>T-110</t>
        </is>
      </c>
    </row>
    <row r="102">
      <c r="A102" s="13" t="inlineStr">
        <is>
          <t>REQ-PRF-06</t>
        </is>
      </c>
      <c r="B102" s="13" t="inlineStr">
        <is>
          <t>Performance</t>
        </is>
      </c>
      <c r="C102" s="13" t="inlineStr">
        <is>
          <t>T-111</t>
        </is>
      </c>
    </row>
    <row r="103">
      <c r="A103" s="13" t="inlineStr">
        <is>
          <t>REQ-PRF-07</t>
        </is>
      </c>
      <c r="B103" s="13" t="inlineStr">
        <is>
          <t>Performance</t>
        </is>
      </c>
      <c r="C103" s="13" t="inlineStr">
        <is>
          <t>T-112</t>
        </is>
      </c>
    </row>
    <row r="104">
      <c r="A104" s="13" t="inlineStr">
        <is>
          <t>REQ-PRF-08</t>
        </is>
      </c>
      <c r="B104" s="13" t="inlineStr">
        <is>
          <t>Performance</t>
        </is>
      </c>
      <c r="C104" s="13" t="inlineStr">
        <is>
          <t>T-113</t>
        </is>
      </c>
    </row>
    <row r="105">
      <c r="A105" s="13" t="inlineStr">
        <is>
          <t>REQ-PRF-09</t>
        </is>
      </c>
      <c r="B105" s="13" t="inlineStr">
        <is>
          <t>Performance</t>
        </is>
      </c>
      <c r="C105" s="13" t="inlineStr">
        <is>
          <t>T-114</t>
        </is>
      </c>
    </row>
    <row r="106">
      <c r="A106" s="13" t="inlineStr">
        <is>
          <t>REQ-PRF-10</t>
        </is>
      </c>
      <c r="B106" s="13" t="inlineStr">
        <is>
          <t>Performance</t>
        </is>
      </c>
      <c r="C106" s="13" t="inlineStr">
        <is>
          <t>T-115</t>
        </is>
      </c>
    </row>
    <row r="107">
      <c r="A107" s="13" t="inlineStr">
        <is>
          <t>REQ-PRM-01</t>
        </is>
      </c>
      <c r="B107" s="13" t="inlineStr">
        <is>
          <t>Paramètres</t>
        </is>
      </c>
      <c r="C107" s="13" t="inlineStr">
        <is>
          <t>T-031</t>
        </is>
      </c>
    </row>
    <row r="108">
      <c r="A108" s="13" t="inlineStr">
        <is>
          <t>REQ-PRM-02</t>
        </is>
      </c>
      <c r="B108" s="13" t="inlineStr">
        <is>
          <t>Paramètres</t>
        </is>
      </c>
      <c r="C108" s="13" t="inlineStr">
        <is>
          <t>T-032</t>
        </is>
      </c>
    </row>
    <row r="109">
      <c r="A109" s="13" t="inlineStr">
        <is>
          <t>REQ-PRM-03</t>
        </is>
      </c>
      <c r="B109" s="13" t="inlineStr">
        <is>
          <t>Paramètres</t>
        </is>
      </c>
      <c r="C109" s="13" t="inlineStr">
        <is>
          <t>T-033</t>
        </is>
      </c>
    </row>
    <row r="110">
      <c r="A110" s="13" t="inlineStr">
        <is>
          <t>REQ-PRM-04</t>
        </is>
      </c>
      <c r="B110" s="13" t="inlineStr">
        <is>
          <t>Paramètres</t>
        </is>
      </c>
      <c r="C110" s="13" t="inlineStr">
        <is>
          <t>T-034</t>
        </is>
      </c>
    </row>
    <row r="111">
      <c r="A111" s="13" t="inlineStr">
        <is>
          <t>REQ-PRM-05</t>
        </is>
      </c>
      <c r="B111" s="13" t="inlineStr">
        <is>
          <t>Paramètres</t>
        </is>
      </c>
      <c r="C111" s="13" t="inlineStr">
        <is>
          <t>T-035</t>
        </is>
      </c>
    </row>
    <row r="112">
      <c r="A112" s="13" t="inlineStr">
        <is>
          <t>REQ-PRM-06</t>
        </is>
      </c>
      <c r="B112" s="13" t="inlineStr">
        <is>
          <t>Paramètres</t>
        </is>
      </c>
      <c r="C112" s="13" t="inlineStr">
        <is>
          <t>T-036</t>
        </is>
      </c>
    </row>
    <row r="113">
      <c r="A113" s="13" t="inlineStr">
        <is>
          <t>REQ-PRM-07</t>
        </is>
      </c>
      <c r="B113" s="13" t="inlineStr">
        <is>
          <t>Paramètres</t>
        </is>
      </c>
      <c r="C113" s="13" t="inlineStr">
        <is>
          <t>T-037</t>
        </is>
      </c>
    </row>
    <row r="114">
      <c r="A114" s="13" t="inlineStr">
        <is>
          <t>REQ-PRM-08</t>
        </is>
      </c>
      <c r="B114" s="13" t="inlineStr">
        <is>
          <t>Paramètres</t>
        </is>
      </c>
      <c r="C114" s="13" t="inlineStr">
        <is>
          <t>T-038</t>
        </is>
      </c>
    </row>
    <row r="115">
      <c r="A115" s="13" t="inlineStr">
        <is>
          <t>REQ-PRM-09</t>
        </is>
      </c>
      <c r="B115" s="13" t="inlineStr">
        <is>
          <t>Paramètres</t>
        </is>
      </c>
      <c r="C115" s="13" t="inlineStr">
        <is>
          <t>T-039</t>
        </is>
      </c>
    </row>
    <row r="116">
      <c r="A116" s="13" t="inlineStr">
        <is>
          <t>REQ-PRM-10</t>
        </is>
      </c>
      <c r="B116" s="13" t="inlineStr">
        <is>
          <t>Paramètres</t>
        </is>
      </c>
      <c r="C116" s="13" t="inlineStr">
        <is>
          <t>T-040</t>
        </is>
      </c>
    </row>
    <row r="117">
      <c r="A117" s="13" t="inlineStr">
        <is>
          <t>REQ-PRM-11</t>
        </is>
      </c>
      <c r="B117" s="13" t="inlineStr">
        <is>
          <t>Paramètres</t>
        </is>
      </c>
      <c r="C117" s="13" t="inlineStr">
        <is>
          <t>T-041</t>
        </is>
      </c>
    </row>
    <row r="118">
      <c r="A118" s="13" t="inlineStr">
        <is>
          <t>REQ-PRM-12</t>
        </is>
      </c>
      <c r="B118" s="13" t="inlineStr">
        <is>
          <t>Paramètres</t>
        </is>
      </c>
      <c r="C118" s="13" t="inlineStr">
        <is>
          <t>T-042</t>
        </is>
      </c>
    </row>
    <row r="119">
      <c r="A119" s="13" t="inlineStr">
        <is>
          <t>REQ-PRM-13</t>
        </is>
      </c>
      <c r="B119" s="13" t="inlineStr">
        <is>
          <t>Paramètres</t>
        </is>
      </c>
      <c r="C119" s="13" t="inlineStr">
        <is>
          <t>T-043</t>
        </is>
      </c>
    </row>
    <row r="120">
      <c r="A120" s="13" t="inlineStr">
        <is>
          <t>REQ-PRM-14</t>
        </is>
      </c>
      <c r="B120" s="13" t="inlineStr">
        <is>
          <t>Paramètres</t>
        </is>
      </c>
      <c r="C120" s="13" t="inlineStr">
        <is>
          <t>T-044</t>
        </is>
      </c>
    </row>
    <row r="121">
      <c r="A121" s="13" t="inlineStr">
        <is>
          <t>REQ-PRM-15</t>
        </is>
      </c>
      <c r="B121" s="13" t="inlineStr">
        <is>
          <t>Paramètres</t>
        </is>
      </c>
      <c r="C121" s="13" t="inlineStr">
        <is>
          <t>T-045</t>
        </is>
      </c>
    </row>
    <row r="122">
      <c r="A122" s="13" t="inlineStr">
        <is>
          <t>REQ-PRM-16</t>
        </is>
      </c>
      <c r="B122" s="13" t="inlineStr">
        <is>
          <t>Paramètres</t>
        </is>
      </c>
      <c r="C122" s="13" t="inlineStr">
        <is>
          <t>T-046</t>
        </is>
      </c>
    </row>
    <row r="123">
      <c r="A123" s="13" t="inlineStr">
        <is>
          <t>REQ-PRM-17</t>
        </is>
      </c>
      <c r="B123" s="13" t="inlineStr">
        <is>
          <t>Paramètres</t>
        </is>
      </c>
      <c r="C123" s="13" t="inlineStr">
        <is>
          <t>T-047</t>
        </is>
      </c>
    </row>
    <row r="124">
      <c r="A124" s="13" t="inlineStr">
        <is>
          <t>REQ-PRM-18</t>
        </is>
      </c>
      <c r="B124" s="13" t="inlineStr">
        <is>
          <t>Paramètres</t>
        </is>
      </c>
      <c r="C124" s="13" t="inlineStr">
        <is>
          <t>T-048</t>
        </is>
      </c>
    </row>
    <row r="125">
      <c r="A125" s="13" t="inlineStr">
        <is>
          <t>REQ-PRM-19</t>
        </is>
      </c>
      <c r="B125" s="13" t="inlineStr">
        <is>
          <t>Paramètres</t>
        </is>
      </c>
      <c r="C125" s="13" t="inlineStr">
        <is>
          <t>T-049</t>
        </is>
      </c>
    </row>
    <row r="126">
      <c r="A126" s="13" t="inlineStr">
        <is>
          <t>REQ-PRM-20</t>
        </is>
      </c>
      <c r="B126" s="13" t="inlineStr">
        <is>
          <t>Paramètres</t>
        </is>
      </c>
      <c r="C126" s="13" t="inlineStr">
        <is>
          <t>T-050</t>
        </is>
      </c>
    </row>
    <row r="127">
      <c r="A127" s="13" t="inlineStr">
        <is>
          <t>REQ-PRM-21</t>
        </is>
      </c>
      <c r="B127" s="13" t="inlineStr">
        <is>
          <t>Paramètres</t>
        </is>
      </c>
      <c r="C127" s="13" t="inlineStr">
        <is>
          <t>T-160</t>
        </is>
      </c>
    </row>
    <row r="128">
      <c r="A128" s="13" t="inlineStr">
        <is>
          <t>REQ-PRM-22</t>
        </is>
      </c>
      <c r="B128" s="13" t="inlineStr">
        <is>
          <t>Paramètres</t>
        </is>
      </c>
      <c r="C128" s="13" t="inlineStr">
        <is>
          <t>T-161</t>
        </is>
      </c>
    </row>
    <row r="129">
      <c r="A129" s="13" t="inlineStr">
        <is>
          <t>REQ-PRM-23</t>
        </is>
      </c>
      <c r="B129" s="13" t="inlineStr">
        <is>
          <t>Paramètres</t>
        </is>
      </c>
      <c r="C129" s="13" t="inlineStr">
        <is>
          <t>T-162</t>
        </is>
      </c>
    </row>
    <row r="130">
      <c r="A130" s="13" t="inlineStr">
        <is>
          <t>REQ-PRM-24</t>
        </is>
      </c>
      <c r="B130" s="13" t="inlineStr">
        <is>
          <t>Paramètres</t>
        </is>
      </c>
      <c r="C130" s="13" t="inlineStr">
        <is>
          <t>T-163</t>
        </is>
      </c>
    </row>
    <row r="131">
      <c r="A131" s="13" t="inlineStr">
        <is>
          <t>REQ-PRM-25</t>
        </is>
      </c>
      <c r="B131" s="13" t="inlineStr">
        <is>
          <t>Paramètres</t>
        </is>
      </c>
      <c r="C131" s="13" t="inlineStr">
        <is>
          <t>T-164</t>
        </is>
      </c>
    </row>
    <row r="132">
      <c r="A132" s="13" t="inlineStr">
        <is>
          <t>REQ-PRM-26</t>
        </is>
      </c>
      <c r="B132" s="13" t="inlineStr">
        <is>
          <t>Paramètres</t>
        </is>
      </c>
      <c r="C132" s="13" t="inlineStr">
        <is>
          <t>T-169</t>
        </is>
      </c>
    </row>
    <row r="133">
      <c r="A133" s="13" t="inlineStr">
        <is>
          <t>REQ-PRM-27</t>
        </is>
      </c>
      <c r="B133" s="13" t="inlineStr">
        <is>
          <t>Paramètres</t>
        </is>
      </c>
      <c r="C133" s="13" t="inlineStr">
        <is>
          <t>T-170</t>
        </is>
      </c>
    </row>
    <row r="134">
      <c r="A134" s="13" t="inlineStr">
        <is>
          <t>REQ-PRM-28</t>
        </is>
      </c>
      <c r="B134" s="13" t="inlineStr">
        <is>
          <t>Paramètres</t>
        </is>
      </c>
      <c r="C134" s="13" t="inlineStr">
        <is>
          <t>T-171</t>
        </is>
      </c>
    </row>
    <row r="135">
      <c r="A135" s="13" t="inlineStr">
        <is>
          <t>REQ-PRM-29</t>
        </is>
      </c>
      <c r="B135" s="13" t="inlineStr">
        <is>
          <t>Paramètres</t>
        </is>
      </c>
      <c r="C135" s="13" t="inlineStr">
        <is>
          <t>T-172</t>
        </is>
      </c>
    </row>
    <row r="136">
      <c r="A136" s="13" t="inlineStr">
        <is>
          <t>REQ-PRM-30</t>
        </is>
      </c>
      <c r="B136" s="13" t="inlineStr">
        <is>
          <t>Paramètres</t>
        </is>
      </c>
      <c r="C136" s="13" t="inlineStr">
        <is>
          <t>T-173</t>
        </is>
      </c>
    </row>
    <row r="137">
      <c r="A137" s="13" t="inlineStr">
        <is>
          <t>REQ-PRM-31</t>
        </is>
      </c>
      <c r="B137" s="13" t="inlineStr">
        <is>
          <t>Paramètres</t>
        </is>
      </c>
      <c r="C137" s="13" t="inlineStr">
        <is>
          <t>T-174</t>
        </is>
      </c>
    </row>
    <row r="138">
      <c r="A138" s="13" t="inlineStr">
        <is>
          <t>REQ-REG-01</t>
        </is>
      </c>
      <c r="B138" s="13" t="inlineStr">
        <is>
          <t>Régression</t>
        </is>
      </c>
      <c r="C138" s="13" t="inlineStr">
        <is>
          <t>T-136</t>
        </is>
      </c>
    </row>
    <row r="139">
      <c r="A139" s="13" t="inlineStr">
        <is>
          <t>REQ-REG-02</t>
        </is>
      </c>
      <c r="B139" s="13" t="inlineStr">
        <is>
          <t>Régression</t>
        </is>
      </c>
      <c r="C139" s="13" t="inlineStr">
        <is>
          <t>T-137</t>
        </is>
      </c>
    </row>
    <row r="140">
      <c r="A140" s="13" t="inlineStr">
        <is>
          <t>REQ-REG-03</t>
        </is>
      </c>
      <c r="B140" s="13" t="inlineStr">
        <is>
          <t>Régression</t>
        </is>
      </c>
      <c r="C140" s="13" t="inlineStr">
        <is>
          <t>T-138</t>
        </is>
      </c>
    </row>
    <row r="141">
      <c r="A141" s="13" t="inlineStr">
        <is>
          <t>REQ-REG-04</t>
        </is>
      </c>
      <c r="B141" s="13" t="inlineStr">
        <is>
          <t>Régression</t>
        </is>
      </c>
      <c r="C141" s="13" t="inlineStr">
        <is>
          <t>T-139</t>
        </is>
      </c>
    </row>
    <row r="142">
      <c r="A142" s="13" t="inlineStr">
        <is>
          <t>REQ-REG-05</t>
        </is>
      </c>
      <c r="B142" s="13" t="inlineStr">
        <is>
          <t>Régression</t>
        </is>
      </c>
      <c r="C142" s="13" t="inlineStr">
        <is>
          <t>T-140</t>
        </is>
      </c>
    </row>
    <row r="143">
      <c r="A143" s="13" t="inlineStr">
        <is>
          <t>REQ-REG-06</t>
        </is>
      </c>
      <c r="B143" s="13" t="inlineStr">
        <is>
          <t>Régression</t>
        </is>
      </c>
      <c r="C143" s="13" t="inlineStr">
        <is>
          <t>T-141</t>
        </is>
      </c>
    </row>
    <row r="144">
      <c r="A144" s="13" t="inlineStr">
        <is>
          <t>REQ-REG-07</t>
        </is>
      </c>
      <c r="B144" s="13" t="inlineStr">
        <is>
          <t>Régression</t>
        </is>
      </c>
      <c r="C144" s="13" t="inlineStr">
        <is>
          <t>T-142</t>
        </is>
      </c>
    </row>
    <row r="145">
      <c r="A145" s="13" t="inlineStr">
        <is>
          <t>REQ-REG-08</t>
        </is>
      </c>
      <c r="B145" s="13" t="inlineStr">
        <is>
          <t>Régression</t>
        </is>
      </c>
      <c r="C145" s="13" t="inlineStr">
        <is>
          <t>T-143</t>
        </is>
      </c>
    </row>
    <row r="146">
      <c r="A146" s="13" t="inlineStr">
        <is>
          <t>REQ-REG-09</t>
        </is>
      </c>
      <c r="B146" s="13" t="inlineStr">
        <is>
          <t>Régression</t>
        </is>
      </c>
      <c r="C146" s="13" t="inlineStr">
        <is>
          <t>T-144</t>
        </is>
      </c>
    </row>
    <row r="147">
      <c r="A147" s="13" t="inlineStr">
        <is>
          <t>REQ-REG-10</t>
        </is>
      </c>
      <c r="B147" s="13" t="inlineStr">
        <is>
          <t>Régression</t>
        </is>
      </c>
      <c r="C147" s="13" t="inlineStr">
        <is>
          <t>T-145</t>
        </is>
      </c>
    </row>
    <row r="148">
      <c r="A148" s="13" t="inlineStr">
        <is>
          <t>REQ-REG-11</t>
        </is>
      </c>
      <c r="B148" s="13" t="inlineStr">
        <is>
          <t>Régression</t>
        </is>
      </c>
      <c r="C148" s="13" t="inlineStr">
        <is>
          <t>T-146</t>
        </is>
      </c>
    </row>
    <row r="149">
      <c r="A149" s="13" t="inlineStr">
        <is>
          <t>REQ-REG-12</t>
        </is>
      </c>
      <c r="B149" s="13" t="inlineStr">
        <is>
          <t>Régression</t>
        </is>
      </c>
      <c r="C149" s="13" t="inlineStr">
        <is>
          <t>T-147</t>
        </is>
      </c>
    </row>
    <row r="150">
      <c r="A150" s="13" t="inlineStr">
        <is>
          <t>REQ-REG-13</t>
        </is>
      </c>
      <c r="B150" s="13" t="inlineStr">
        <is>
          <t>Régression</t>
        </is>
      </c>
      <c r="C150" s="13" t="inlineStr">
        <is>
          <t>T-148</t>
        </is>
      </c>
    </row>
    <row r="151">
      <c r="A151" s="13" t="inlineStr">
        <is>
          <t>REQ-REG-14</t>
        </is>
      </c>
      <c r="B151" s="13" t="inlineStr">
        <is>
          <t>Régression</t>
        </is>
      </c>
      <c r="C151" s="13" t="inlineStr">
        <is>
          <t>T-149</t>
        </is>
      </c>
    </row>
    <row r="152">
      <c r="A152" s="13" t="inlineStr">
        <is>
          <t>REQ-REG-15</t>
        </is>
      </c>
      <c r="B152" s="13" t="inlineStr">
        <is>
          <t>Régression</t>
        </is>
      </c>
      <c r="C152" s="13" t="inlineStr">
        <is>
          <t>T-150</t>
        </is>
      </c>
    </row>
    <row r="153">
      <c r="A153" s="13" t="inlineStr">
        <is>
          <t>REQ-REG-16</t>
        </is>
      </c>
      <c r="B153" s="13" t="inlineStr">
        <is>
          <t>Régression</t>
        </is>
      </c>
      <c r="C153" s="13" t="inlineStr">
        <is>
          <t>T-165</t>
        </is>
      </c>
    </row>
    <row r="154">
      <c r="A154" s="13" t="inlineStr">
        <is>
          <t>REQ-REG-17</t>
        </is>
      </c>
      <c r="B154" s="13" t="inlineStr">
        <is>
          <t>Régression</t>
        </is>
      </c>
      <c r="C154" s="13" t="inlineStr">
        <is>
          <t>T-175</t>
        </is>
      </c>
    </row>
    <row r="155">
      <c r="A155" s="13" t="inlineStr">
        <is>
          <t>REQ-REG-18</t>
        </is>
      </c>
      <c r="B155" s="13" t="inlineStr">
        <is>
          <t>Régression</t>
        </is>
      </c>
      <c r="C155" s="13" t="inlineStr">
        <is>
          <t>T-185</t>
        </is>
      </c>
    </row>
    <row r="156">
      <c r="A156" s="13" t="inlineStr">
        <is>
          <t>REQ-REG-19</t>
        </is>
      </c>
      <c r="B156" s="13" t="inlineStr">
        <is>
          <t>Régression</t>
        </is>
      </c>
      <c r="C156" s="13" t="inlineStr">
        <is>
          <t>T-186</t>
        </is>
      </c>
    </row>
    <row r="157">
      <c r="A157" s="13" t="inlineStr">
        <is>
          <t>REQ-REG-20</t>
        </is>
      </c>
      <c r="B157" s="13" t="inlineStr">
        <is>
          <t>Régression</t>
        </is>
      </c>
      <c r="C157" s="13" t="inlineStr">
        <is>
          <t>T-187</t>
        </is>
      </c>
    </row>
    <row r="158">
      <c r="A158" s="13" t="inlineStr">
        <is>
          <t>REQ-REG-21</t>
        </is>
      </c>
      <c r="B158" s="13" t="inlineStr">
        <is>
          <t>Régression</t>
        </is>
      </c>
      <c r="C158" s="13" t="inlineStr">
        <is>
          <t>T-190</t>
        </is>
      </c>
    </row>
    <row r="159">
      <c r="A159" s="13" t="inlineStr">
        <is>
          <t>REQ-REG-22</t>
        </is>
      </c>
      <c r="B159" s="13" t="inlineStr">
        <is>
          <t>Régression</t>
        </is>
      </c>
      <c r="C159" s="13" t="inlineStr">
        <is>
          <t>T-191</t>
        </is>
      </c>
    </row>
    <row r="160">
      <c r="A160" s="13" t="inlineStr">
        <is>
          <t>REQ-REG-23</t>
        </is>
      </c>
      <c r="B160" s="13" t="inlineStr">
        <is>
          <t>Régression</t>
        </is>
      </c>
      <c r="C160" s="13" t="inlineStr">
        <is>
          <t>T-193</t>
        </is>
      </c>
    </row>
    <row r="161">
      <c r="A161" s="13" t="inlineStr">
        <is>
          <t>REQ-REG-24</t>
        </is>
      </c>
      <c r="B161" s="13" t="inlineStr">
        <is>
          <t>Régression</t>
        </is>
      </c>
      <c r="C161" s="13" t="inlineStr">
        <is>
          <t>T-195</t>
        </is>
      </c>
    </row>
    <row r="162">
      <c r="A162" s="13" t="inlineStr">
        <is>
          <t>REQ-REG-25</t>
        </is>
      </c>
      <c r="B162" s="13" t="inlineStr">
        <is>
          <t>Régression</t>
        </is>
      </c>
      <c r="C162" s="13" t="inlineStr">
        <is>
          <t>T-203</t>
        </is>
      </c>
    </row>
    <row r="163">
      <c r="A163" s="13" t="inlineStr">
        <is>
          <t>REQ-REG-26</t>
        </is>
      </c>
      <c r="B163" s="13" t="inlineStr">
        <is>
          <t>Régression</t>
        </is>
      </c>
      <c r="C163" s="13" t="inlineStr">
        <is>
          <t>T-204</t>
        </is>
      </c>
    </row>
    <row r="164">
      <c r="A164" s="13" t="inlineStr">
        <is>
          <t>REQ-REG-27</t>
        </is>
      </c>
      <c r="B164" s="13" t="inlineStr">
        <is>
          <t>Régression</t>
        </is>
      </c>
      <c r="C164" s="13" t="inlineStr">
        <is>
          <t>T-205</t>
        </is>
      </c>
    </row>
    <row r="165">
      <c r="A165" s="13" t="inlineStr">
        <is>
          <t>REQ-REG-28</t>
        </is>
      </c>
      <c r="B165" s="13" t="inlineStr">
        <is>
          <t>Régression</t>
        </is>
      </c>
      <c r="C165" s="13" t="inlineStr">
        <is>
          <t>T-206</t>
        </is>
      </c>
    </row>
    <row r="166">
      <c r="A166" s="13" t="inlineStr">
        <is>
          <t>REQ-REG-29</t>
        </is>
      </c>
      <c r="B166" s="13" t="inlineStr">
        <is>
          <t>Régression</t>
        </is>
      </c>
      <c r="C166" s="13" t="inlineStr">
        <is>
          <t>T-207</t>
        </is>
      </c>
    </row>
    <row r="167">
      <c r="A167" s="13" t="inlineStr">
        <is>
          <t>REQ-REG-30</t>
        </is>
      </c>
      <c r="B167" s="13" t="inlineStr">
        <is>
          <t>Régression</t>
        </is>
      </c>
      <c r="C167" s="13" t="inlineStr">
        <is>
          <t>T-210</t>
        </is>
      </c>
    </row>
    <row r="168">
      <c r="A168" s="13" t="inlineStr">
        <is>
          <t>REQ-ROB-01</t>
        </is>
      </c>
      <c r="B168" s="13" t="inlineStr">
        <is>
          <t>Robustesse</t>
        </is>
      </c>
      <c r="C168" s="13" t="inlineStr">
        <is>
          <t>T-116</t>
        </is>
      </c>
    </row>
    <row r="169">
      <c r="A169" s="13" t="inlineStr">
        <is>
          <t>REQ-ROB-02</t>
        </is>
      </c>
      <c r="B169" s="13" t="inlineStr">
        <is>
          <t>Robustesse</t>
        </is>
      </c>
      <c r="C169" s="13" t="inlineStr">
        <is>
          <t>T-117</t>
        </is>
      </c>
    </row>
    <row r="170">
      <c r="A170" s="13" t="inlineStr">
        <is>
          <t>REQ-ROB-03</t>
        </is>
      </c>
      <c r="B170" s="13" t="inlineStr">
        <is>
          <t>Robustesse</t>
        </is>
      </c>
      <c r="C170" s="13" t="inlineStr">
        <is>
          <t>T-118</t>
        </is>
      </c>
    </row>
    <row r="171">
      <c r="A171" s="13" t="inlineStr">
        <is>
          <t>REQ-ROB-04</t>
        </is>
      </c>
      <c r="B171" s="13" t="inlineStr">
        <is>
          <t>Robustesse</t>
        </is>
      </c>
      <c r="C171" s="13" t="inlineStr">
        <is>
          <t>T-119</t>
        </is>
      </c>
    </row>
    <row r="172">
      <c r="A172" s="13" t="inlineStr">
        <is>
          <t>REQ-ROB-05</t>
        </is>
      </c>
      <c r="B172" s="13" t="inlineStr">
        <is>
          <t>Robustesse</t>
        </is>
      </c>
      <c r="C172" s="13" t="inlineStr">
        <is>
          <t>T-120</t>
        </is>
      </c>
    </row>
    <row r="173">
      <c r="A173" s="13" t="inlineStr">
        <is>
          <t>REQ-ROB-06</t>
        </is>
      </c>
      <c r="B173" s="13" t="inlineStr">
        <is>
          <t>Robustesse</t>
        </is>
      </c>
      <c r="C173" s="13" t="inlineStr">
        <is>
          <t>T-121</t>
        </is>
      </c>
    </row>
    <row r="174">
      <c r="A174" s="13" t="inlineStr">
        <is>
          <t>REQ-ROB-07</t>
        </is>
      </c>
      <c r="B174" s="13" t="inlineStr">
        <is>
          <t>Robustesse</t>
        </is>
      </c>
      <c r="C174" s="13" t="inlineStr">
        <is>
          <t>T-122</t>
        </is>
      </c>
    </row>
    <row r="175">
      <c r="A175" s="13" t="inlineStr">
        <is>
          <t>REQ-ROB-08</t>
        </is>
      </c>
      <c r="B175" s="13" t="inlineStr">
        <is>
          <t>Robustesse</t>
        </is>
      </c>
      <c r="C175" s="13" t="inlineStr">
        <is>
          <t>T-123</t>
        </is>
      </c>
    </row>
    <row r="176">
      <c r="A176" s="13" t="inlineStr">
        <is>
          <t>REQ-ROB-09</t>
        </is>
      </c>
      <c r="B176" s="13" t="inlineStr">
        <is>
          <t>Robustesse</t>
        </is>
      </c>
      <c r="C176" s="13" t="inlineStr">
        <is>
          <t>T-124</t>
        </is>
      </c>
    </row>
    <row r="177">
      <c r="A177" s="13" t="inlineStr">
        <is>
          <t>REQ-ROB-10</t>
        </is>
      </c>
      <c r="B177" s="13" t="inlineStr">
        <is>
          <t>Robustesse</t>
        </is>
      </c>
      <c r="C177" s="13" t="inlineStr">
        <is>
          <t>T-125</t>
        </is>
      </c>
    </row>
    <row r="178">
      <c r="A178" s="13" t="inlineStr">
        <is>
          <t>REQ-ROB-11</t>
        </is>
      </c>
      <c r="B178" s="13" t="inlineStr">
        <is>
          <t>Robustesse</t>
        </is>
      </c>
      <c r="C178" s="13" t="inlineStr">
        <is>
          <t>T-126</t>
        </is>
      </c>
    </row>
    <row r="179">
      <c r="A179" s="13" t="inlineStr">
        <is>
          <t>REQ-ROB-12</t>
        </is>
      </c>
      <c r="B179" s="13" t="inlineStr">
        <is>
          <t>Robustesse</t>
        </is>
      </c>
      <c r="C179" s="13" t="inlineStr">
        <is>
          <t>T-127</t>
        </is>
      </c>
    </row>
    <row r="180">
      <c r="A180" s="13" t="inlineStr">
        <is>
          <t>REQ-ROB-13</t>
        </is>
      </c>
      <c r="B180" s="13" t="inlineStr">
        <is>
          <t>Robustesse</t>
        </is>
      </c>
      <c r="C180" s="13" t="inlineStr">
        <is>
          <t>T-128</t>
        </is>
      </c>
    </row>
    <row r="181">
      <c r="A181" s="13" t="inlineStr">
        <is>
          <t>REQ-ROB-14</t>
        </is>
      </c>
      <c r="B181" s="13" t="inlineStr">
        <is>
          <t>Robustesse</t>
        </is>
      </c>
      <c r="C181" s="13" t="inlineStr">
        <is>
          <t>T-129</t>
        </is>
      </c>
    </row>
    <row r="182">
      <c r="A182" s="13" t="inlineStr">
        <is>
          <t>REQ-ROB-15</t>
        </is>
      </c>
      <c r="B182" s="13" t="inlineStr">
        <is>
          <t>Robustesse</t>
        </is>
      </c>
      <c r="C182" s="13" t="inlineStr">
        <is>
          <t>T-130</t>
        </is>
      </c>
    </row>
    <row r="183">
      <c r="A183" s="13" t="inlineStr">
        <is>
          <t>REQ-ROB-16</t>
        </is>
      </c>
      <c r="B183" s="13" t="inlineStr">
        <is>
          <t>Robustesse</t>
        </is>
      </c>
      <c r="C183" s="13" t="inlineStr">
        <is>
          <t>T-131</t>
        </is>
      </c>
    </row>
    <row r="184">
      <c r="A184" s="13" t="inlineStr">
        <is>
          <t>REQ-ROB-17</t>
        </is>
      </c>
      <c r="B184" s="13" t="inlineStr">
        <is>
          <t>Robustesse</t>
        </is>
      </c>
      <c r="C184" s="13" t="inlineStr">
        <is>
          <t>T-132</t>
        </is>
      </c>
    </row>
    <row r="185">
      <c r="A185" s="13" t="inlineStr">
        <is>
          <t>REQ-ROB-18</t>
        </is>
      </c>
      <c r="B185" s="13" t="inlineStr">
        <is>
          <t>Robustesse</t>
        </is>
      </c>
      <c r="C185" s="13" t="inlineStr">
        <is>
          <t>T-133</t>
        </is>
      </c>
    </row>
    <row r="186">
      <c r="A186" s="13" t="inlineStr">
        <is>
          <t>REQ-ROB-19</t>
        </is>
      </c>
      <c r="B186" s="13" t="inlineStr">
        <is>
          <t>Robustesse</t>
        </is>
      </c>
      <c r="C186" s="13" t="inlineStr">
        <is>
          <t>T-134</t>
        </is>
      </c>
    </row>
    <row r="187">
      <c r="A187" s="13" t="inlineStr">
        <is>
          <t>REQ-ROB-20</t>
        </is>
      </c>
      <c r="B187" s="13" t="inlineStr">
        <is>
          <t>Robustesse</t>
        </is>
      </c>
      <c r="C187" s="13" t="inlineStr">
        <is>
          <t>T-135</t>
        </is>
      </c>
    </row>
    <row r="188">
      <c r="A188" s="13" t="inlineStr">
        <is>
          <t>REQ-ROB-21</t>
        </is>
      </c>
      <c r="B188" s="13" t="inlineStr">
        <is>
          <t>Robustesse</t>
        </is>
      </c>
      <c r="C188" s="13" t="inlineStr">
        <is>
          <t>T-176</t>
        </is>
      </c>
    </row>
    <row r="189">
      <c r="A189" s="13" t="inlineStr">
        <is>
          <t>REQ-ROB-22</t>
        </is>
      </c>
      <c r="B189" s="13" t="inlineStr">
        <is>
          <t>Robustesse</t>
        </is>
      </c>
      <c r="C189" s="13" t="inlineStr">
        <is>
          <t>T-177</t>
        </is>
      </c>
    </row>
    <row r="190">
      <c r="A190" s="13" t="inlineStr">
        <is>
          <t>REQ-ROB-23</t>
        </is>
      </c>
      <c r="B190" s="13" t="inlineStr">
        <is>
          <t>Robustesse</t>
        </is>
      </c>
      <c r="C190" s="13" t="inlineStr">
        <is>
          <t>T-178</t>
        </is>
      </c>
    </row>
    <row r="191">
      <c r="A191" s="13" t="inlineStr">
        <is>
          <t>REQ-ROB-24</t>
        </is>
      </c>
      <c r="B191" s="13" t="inlineStr">
        <is>
          <t>Robustesse</t>
        </is>
      </c>
      <c r="C191" s="13" t="inlineStr">
        <is>
          <t>T-180</t>
        </is>
      </c>
    </row>
    <row r="192">
      <c r="A192" s="13" t="inlineStr">
        <is>
          <t>REQ-ROB-25</t>
        </is>
      </c>
      <c r="B192" s="13" t="inlineStr">
        <is>
          <t>Robustesse</t>
        </is>
      </c>
      <c r="C192" s="13" t="inlineStr">
        <is>
          <t>T-184</t>
        </is>
      </c>
    </row>
    <row r="193">
      <c r="A193" s="13" t="inlineStr">
        <is>
          <t>REQ-ROB-26</t>
        </is>
      </c>
      <c r="B193" s="13" t="inlineStr">
        <is>
          <t>Robustesse</t>
        </is>
      </c>
      <c r="C193" s="13" t="inlineStr">
        <is>
          <t>T-194</t>
        </is>
      </c>
    </row>
    <row r="194">
      <c r="A194" s="13" t="inlineStr">
        <is>
          <t>REQ-ROB-27</t>
        </is>
      </c>
      <c r="B194" s="13" t="inlineStr">
        <is>
          <t>Robustesse</t>
        </is>
      </c>
      <c r="C194" s="13" t="inlineStr">
        <is>
          <t>T-196</t>
        </is>
      </c>
    </row>
    <row r="195">
      <c r="A195" s="13" t="inlineStr">
        <is>
          <t>REQ-ROB-28</t>
        </is>
      </c>
      <c r="B195" s="13" t="inlineStr">
        <is>
          <t>Robustesse</t>
        </is>
      </c>
      <c r="C195" s="13" t="inlineStr">
        <is>
          <t>T-197</t>
        </is>
      </c>
    </row>
    <row r="196">
      <c r="A196" s="13" t="inlineStr">
        <is>
          <t>REQ-ROB-29</t>
        </is>
      </c>
      <c r="B196" s="13" t="inlineStr">
        <is>
          <t>Robustesse</t>
        </is>
      </c>
      <c r="C196" s="13" t="inlineStr">
        <is>
          <t>T-198</t>
        </is>
      </c>
    </row>
    <row r="197">
      <c r="A197" s="13" t="inlineStr">
        <is>
          <t>REQ-ROB-30</t>
        </is>
      </c>
      <c r="B197" s="13" t="inlineStr">
        <is>
          <t>Robustesse</t>
        </is>
      </c>
      <c r="C197" s="13" t="inlineStr">
        <is>
          <t>T-199</t>
        </is>
      </c>
    </row>
    <row r="198">
      <c r="A198" s="13" t="inlineStr">
        <is>
          <t>REQ-SOR-01</t>
        </is>
      </c>
      <c r="B198" s="13" t="inlineStr">
        <is>
          <t>Sorties</t>
        </is>
      </c>
      <c r="C198" s="13" t="inlineStr">
        <is>
          <t>T-066</t>
        </is>
      </c>
    </row>
    <row r="199">
      <c r="A199" s="13" t="inlineStr">
        <is>
          <t>REQ-SOR-02</t>
        </is>
      </c>
      <c r="B199" s="13" t="inlineStr">
        <is>
          <t>Sorties</t>
        </is>
      </c>
      <c r="C199" s="13" t="inlineStr">
        <is>
          <t>T-067</t>
        </is>
      </c>
    </row>
    <row r="200">
      <c r="A200" s="13" t="inlineStr">
        <is>
          <t>REQ-SOR-03</t>
        </is>
      </c>
      <c r="B200" s="13" t="inlineStr">
        <is>
          <t>Sorties</t>
        </is>
      </c>
      <c r="C200" s="13" t="inlineStr">
        <is>
          <t>T-068</t>
        </is>
      </c>
    </row>
    <row r="201">
      <c r="A201" s="13" t="inlineStr">
        <is>
          <t>REQ-SOR-04</t>
        </is>
      </c>
      <c r="B201" s="13" t="inlineStr">
        <is>
          <t>Sorties</t>
        </is>
      </c>
      <c r="C201" s="13" t="inlineStr">
        <is>
          <t>T-069</t>
        </is>
      </c>
    </row>
    <row r="202">
      <c r="A202" s="13" t="inlineStr">
        <is>
          <t>REQ-SOR-05</t>
        </is>
      </c>
      <c r="B202" s="13" t="inlineStr">
        <is>
          <t>Sorties</t>
        </is>
      </c>
      <c r="C202" s="13" t="inlineStr">
        <is>
          <t>T-070</t>
        </is>
      </c>
    </row>
    <row r="203">
      <c r="A203" s="13" t="inlineStr">
        <is>
          <t>REQ-SOR-06</t>
        </is>
      </c>
      <c r="B203" s="13" t="inlineStr">
        <is>
          <t>Sorties</t>
        </is>
      </c>
      <c r="C203" s="13" t="inlineStr">
        <is>
          <t>T-071</t>
        </is>
      </c>
    </row>
    <row r="204">
      <c r="A204" s="13" t="inlineStr">
        <is>
          <t>REQ-SOR-07</t>
        </is>
      </c>
      <c r="B204" s="13" t="inlineStr">
        <is>
          <t>Sorties</t>
        </is>
      </c>
      <c r="C204" s="13" t="inlineStr">
        <is>
          <t>T-072</t>
        </is>
      </c>
    </row>
    <row r="205">
      <c r="A205" s="13" t="inlineStr">
        <is>
          <t>REQ-SOR-08</t>
        </is>
      </c>
      <c r="B205" s="13" t="inlineStr">
        <is>
          <t>Sorties</t>
        </is>
      </c>
      <c r="C205" s="13" t="inlineStr">
        <is>
          <t>T-073</t>
        </is>
      </c>
    </row>
    <row r="206">
      <c r="A206" s="13" t="inlineStr">
        <is>
          <t>REQ-SOR-09</t>
        </is>
      </c>
      <c r="B206" s="13" t="inlineStr">
        <is>
          <t>Sorties</t>
        </is>
      </c>
      <c r="C206" s="13" t="inlineStr">
        <is>
          <t>T-074</t>
        </is>
      </c>
    </row>
    <row r="207">
      <c r="A207" s="13" t="inlineStr">
        <is>
          <t>REQ-SOR-10</t>
        </is>
      </c>
      <c r="B207" s="13" t="inlineStr">
        <is>
          <t>Sorties</t>
        </is>
      </c>
      <c r="C207" s="13" t="inlineStr">
        <is>
          <t>T-075</t>
        </is>
      </c>
    </row>
    <row r="208">
      <c r="A208" s="13" t="inlineStr">
        <is>
          <t>REQ-SOR-11</t>
        </is>
      </c>
      <c r="B208" s="13" t="inlineStr">
        <is>
          <t>Sorties</t>
        </is>
      </c>
      <c r="C208" s="13" t="inlineStr">
        <is>
          <t>T-076</t>
        </is>
      </c>
    </row>
    <row r="209">
      <c r="A209" s="13" t="inlineStr">
        <is>
          <t>REQ-SOR-12</t>
        </is>
      </c>
      <c r="B209" s="13" t="inlineStr">
        <is>
          <t>Sorties</t>
        </is>
      </c>
      <c r="C209" s="13" t="inlineStr">
        <is>
          <t>T-077</t>
        </is>
      </c>
    </row>
    <row r="210">
      <c r="A210" s="13" t="inlineStr">
        <is>
          <t>REQ-SOR-13</t>
        </is>
      </c>
      <c r="B210" s="13" t="inlineStr">
        <is>
          <t>Sorties</t>
        </is>
      </c>
      <c r="C210" s="13" t="inlineStr">
        <is>
          <t>T-078</t>
        </is>
      </c>
    </row>
    <row r="211">
      <c r="A211" s="13" t="inlineStr">
        <is>
          <t>REQ-SOR-14</t>
        </is>
      </c>
      <c r="B211" s="13" t="inlineStr">
        <is>
          <t>Sorties</t>
        </is>
      </c>
      <c r="C211" s="13" t="inlineStr">
        <is>
          <t>T-079</t>
        </is>
      </c>
    </row>
    <row r="212">
      <c r="A212" s="13" t="inlineStr">
        <is>
          <t>REQ-SOR-15</t>
        </is>
      </c>
      <c r="B212" s="13" t="inlineStr">
        <is>
          <t>Sorties</t>
        </is>
      </c>
      <c r="C212" s="13" t="inlineStr">
        <is>
          <t>T-080</t>
        </is>
      </c>
    </row>
    <row r="213">
      <c r="A213" s="13" t="inlineStr">
        <is>
          <t>REQ-SOR-16</t>
        </is>
      </c>
      <c r="B213" s="13" t="inlineStr">
        <is>
          <t>Sorties</t>
        </is>
      </c>
      <c r="C213" s="13" t="inlineStr">
        <is>
          <t>T-183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0" t="inlineStr">
        <is>
          <t>Légende de la matrice</t>
        </is>
      </c>
    </row>
    <row r="3">
      <c r="A3" s="14" t="inlineStr">
        <is>
          <t>Statut</t>
        </is>
      </c>
      <c r="B3" s="14" t="inlineStr">
        <is>
          <t>Description</t>
        </is>
      </c>
    </row>
    <row r="4">
      <c r="A4" t="inlineStr">
        <is>
          <t>OK</t>
        </is>
      </c>
      <c r="B4" t="inlineStr">
        <is>
          <t>Test exécuté et conforme au résultat attendu</t>
        </is>
      </c>
    </row>
    <row r="5">
      <c r="A5" t="inlineStr">
        <is>
          <t>NOK</t>
        </is>
      </c>
      <c r="B5" t="inlineStr">
        <is>
          <t>Test exécuté, résultat non conforme</t>
        </is>
      </c>
    </row>
    <row r="6">
      <c r="A6" t="inlineStr">
        <is>
          <t>NA</t>
        </is>
      </c>
      <c r="B6" t="inlineStr">
        <is>
          <t>Non applicable (feature désactivée, dépendance absente, etc.)</t>
        </is>
      </c>
    </row>
    <row r="7">
      <c r="A7" t="inlineStr">
        <is>
          <t>À faire</t>
        </is>
      </c>
      <c r="B7" t="inlineStr">
        <is>
          <t>Test pas encore exécuté (état initial)</t>
        </is>
      </c>
    </row>
    <row r="9">
      <c r="A9" s="14" t="inlineStr">
        <is>
          <t>Sévérité</t>
        </is>
      </c>
      <c r="B9" s="14" t="inlineStr">
        <is>
          <t>Description</t>
        </is>
      </c>
    </row>
    <row r="10">
      <c r="A10" t="inlineStr">
        <is>
          <t>Bloquant</t>
        </is>
      </c>
      <c r="B10" t="inlineStr">
        <is>
          <t>Empêche l'utilisation de la fonctionnalité ou de l'outil entier</t>
        </is>
      </c>
    </row>
    <row r="11">
      <c r="A11" t="inlineStr">
        <is>
          <t>Majeur</t>
        </is>
      </c>
      <c r="B11" t="inlineStr">
        <is>
          <t>Dysfonctionnement important mais contournement possible</t>
        </is>
      </c>
    </row>
    <row r="12">
      <c r="A12" t="inlineStr">
        <is>
          <t>Mineur</t>
        </is>
      </c>
      <c r="B12" t="inlineStr">
        <is>
          <t>Anomalie sans impact significatif sur l'usage</t>
        </is>
      </c>
    </row>
    <row r="13">
      <c r="A13" t="inlineStr">
        <is>
          <t>Cosmétique</t>
        </is>
      </c>
      <c r="B13" t="inlineStr">
        <is>
          <t>Imperfection visuelle ou rédactionnelle</t>
        </is>
      </c>
    </row>
    <row r="15">
      <c r="A15" s="14" t="inlineStr">
        <is>
          <t>Catégorie</t>
        </is>
      </c>
      <c r="B15" s="14" t="inlineStr">
        <is>
          <t>Périmètre</t>
        </is>
      </c>
    </row>
    <row r="16">
      <c r="A16" t="inlineStr">
        <is>
          <t>IHM</t>
        </is>
      </c>
      <c r="B16" t="inlineStr">
        <is>
          <t>Comportement visuel et interactions widgets</t>
        </is>
      </c>
    </row>
    <row r="17">
      <c r="A17" t="inlineStr">
        <is>
          <t>Paramètres</t>
        </is>
      </c>
      <c r="B17" t="inlineStr">
        <is>
          <t>Configuration utilisateur (thème, planification, cache, …)</t>
        </is>
      </c>
    </row>
    <row r="18">
      <c r="A18" t="inlineStr">
        <is>
          <t>Entrées</t>
        </is>
      </c>
      <c r="B18" t="inlineStr">
        <is>
          <t>Types et formes des données en entrée</t>
        </is>
      </c>
    </row>
    <row r="19">
      <c r="A19" t="inlineStr">
        <is>
          <t>Sorties</t>
        </is>
      </c>
      <c r="B19" t="inlineStr">
        <is>
          <t>Arborescences/rapports/index produits</t>
        </is>
      </c>
    </row>
    <row r="20">
      <c r="A20" t="inlineStr">
        <is>
          <t>Cas limites</t>
        </is>
      </c>
      <c r="B20" t="inlineStr">
        <is>
          <t>Bornes, scénarios exotiques, gestion d'erreurs</t>
        </is>
      </c>
    </row>
    <row r="21">
      <c r="A21" t="inlineStr">
        <is>
          <t>Performance</t>
        </is>
      </c>
      <c r="B21" t="inlineStr">
        <is>
          <t>Temps de réponse, mémoire, scalabilité</t>
        </is>
      </c>
    </row>
    <row r="22">
      <c r="A22" t="inlineStr">
        <is>
          <t>Robustesse</t>
        </is>
      </c>
      <c r="B22" t="inlineStr">
        <is>
          <t>Stabilité sous spam/concurrence/conditions dégradées</t>
        </is>
      </c>
    </row>
    <row r="23">
      <c r="A23" t="inlineStr">
        <is>
          <t>Régression</t>
        </is>
      </c>
      <c r="B23" t="inlineStr">
        <is>
          <t>Non-régression sur features post-refonte</t>
        </is>
      </c>
    </row>
    <row r="25">
      <c r="A25" s="14" t="inlineStr">
        <is>
          <t>Mode</t>
        </is>
      </c>
      <c r="B25" s="14" t="inlineStr">
        <is>
          <t>Description</t>
        </is>
      </c>
    </row>
    <row r="26">
      <c r="A26" t="inlineStr">
        <is>
          <t>Auto</t>
        </is>
      </c>
      <c r="B26" t="inlineStr">
        <is>
          <t>Exécuté par la machine (pytest / run_tests.py / compare_outputs.py) — statut injecté, jamais coché à la main</t>
        </is>
      </c>
    </row>
    <row r="27">
      <c r="A27" t="inlineStr">
        <is>
          <t>Manuel</t>
        </is>
      </c>
      <c r="B27" t="inlineStr">
        <is>
          <t>Validation humaine via validation_ihm.html (rendu visuel, ergonomie, conditions réelles)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2026-06-13T06:20:17Z</dcterms:created>
  <dcterms:modified xmlns:dcterms="http://purl.org/dc/terms/" xmlns:xsi="http://www.w3.org/2001/XMLSchema-instance" xsi:type="dcterms:W3CDTF">2026-06-13T06:20:17Z</dcterms:modified>
</cp:coreProperties>
</file>